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et4U\Desktop\Nuove simulazioni\"/>
    </mc:Choice>
  </mc:AlternateContent>
  <xr:revisionPtr revIDLastSave="0" documentId="13_ncr:1_{5541EA39-21AD-4BEC-B0B4-3048CCA09D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glio1" sheetId="1" r:id="rId1"/>
  </sheets>
  <definedNames>
    <definedName name="_xlchart.v1.0" hidden="1">Foglio1!$D$1</definedName>
    <definedName name="_xlchart.v1.1" hidden="1">Foglio1!$D$2:$D$82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 a="1"/>
  <c r="M6" i="1" s="1"/>
  <c r="L6" i="1"/>
  <c r="J9" i="1"/>
  <c r="I9" i="1"/>
  <c r="J6" i="1"/>
  <c r="I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<sst xmlns="http://schemas.openxmlformats.org/spreadsheetml/2006/main" count="92" uniqueCount="38">
  <si>
    <t>ID sequence</t>
  </si>
  <si>
    <t>subjective MOS</t>
  </si>
  <si>
    <t>predicted MOS</t>
  </si>
  <si>
    <t>s01_L_540p.mp4</t>
  </si>
  <si>
    <t>s01_L_720p.mp4</t>
  </si>
  <si>
    <t>s01_L_1080p.mp4</t>
  </si>
  <si>
    <t>s01_M_540p.mp4</t>
  </si>
  <si>
    <t>s01_M_720p.mp4</t>
  </si>
  <si>
    <t>s01_M_1080p.mp4</t>
  </si>
  <si>
    <t>s01_H_540p.mp4</t>
  </si>
  <si>
    <t>s01_H_720p.mp4</t>
  </si>
  <si>
    <t>s01_H_1080p.mp4</t>
  </si>
  <si>
    <t>s02_L_540p.mp4</t>
  </si>
  <si>
    <t>s02_L_720p.mp4</t>
  </si>
  <si>
    <t>s02_L_1080p.mp4</t>
  </si>
  <si>
    <t>s02_M_540p.mp4</t>
  </si>
  <si>
    <t>s02_M_720p.mp4</t>
  </si>
  <si>
    <t>s02_M_1080p.mp4</t>
  </si>
  <si>
    <t>s02_H_540p.mp4</t>
  </si>
  <si>
    <t>s02_H_720p.mp4</t>
  </si>
  <si>
    <t>s02_H_1080p.mp4</t>
  </si>
  <si>
    <t>s03_L_540p.mp4</t>
  </si>
  <si>
    <t>s03_L_720p.mp4</t>
  </si>
  <si>
    <t>s03_L_1080p.mp4</t>
  </si>
  <si>
    <t>s03_M_540p.mp4</t>
  </si>
  <si>
    <t>s03_M_720p.mp4</t>
  </si>
  <si>
    <t>s03_M_1080p.mp4</t>
  </si>
  <si>
    <t>s03_H_540p.mp4</t>
  </si>
  <si>
    <t>s03_H_720p.mp4</t>
  </si>
  <si>
    <t>s03_H_1080p.mp4</t>
  </si>
  <si>
    <t>absolute error</t>
  </si>
  <si>
    <t>squared error</t>
  </si>
  <si>
    <t>MAE</t>
  </si>
  <si>
    <t>RMSE</t>
  </si>
  <si>
    <t>MIN err</t>
  </si>
  <si>
    <t>MAX err</t>
  </si>
  <si>
    <t>PLCC</t>
  </si>
  <si>
    <t>SRCC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</si>
</sst>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2" fontId="0" fillId="0" borderId="1" xfId="0" applyNumberFormat="1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Foglio1!$C$1</c:f>
              <c:strCache>
                <c:ptCount val="1"/>
                <c:pt idx="0">
                  <c:v>predicted MOS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Foglio1!$B$2:$B$82</c:f>
              <c:numCache>
                <c:formatCode>0.00</c:formatCode>
                <c:ptCount val="81"/>
                <c:pt idx="0">
                  <c:v>1.8846153846153846</c:v>
                </c:pt>
                <c:pt idx="1">
                  <c:v>2.6153846153846154</c:v>
                </c:pt>
                <c:pt idx="2">
                  <c:v>3.6538461538461537</c:v>
                </c:pt>
                <c:pt idx="3">
                  <c:v>2.2307692307692308</c:v>
                </c:pt>
                <c:pt idx="4">
                  <c:v>3</c:v>
                </c:pt>
                <c:pt idx="5">
                  <c:v>3.8076923076923075</c:v>
                </c:pt>
                <c:pt idx="6">
                  <c:v>2.8076923076923075</c:v>
                </c:pt>
                <c:pt idx="7">
                  <c:v>3.6538461538461537</c:v>
                </c:pt>
                <c:pt idx="8">
                  <c:v>4.115384615384615</c:v>
                </c:pt>
                <c:pt idx="9">
                  <c:v>2.5769230769230771</c:v>
                </c:pt>
                <c:pt idx="10">
                  <c:v>3.2692307692307692</c:v>
                </c:pt>
                <c:pt idx="11">
                  <c:v>3.9615384615384617</c:v>
                </c:pt>
                <c:pt idx="12">
                  <c:v>2.6923076923076925</c:v>
                </c:pt>
                <c:pt idx="13">
                  <c:v>3.5384615384615383</c:v>
                </c:pt>
                <c:pt idx="14">
                  <c:v>4.2307692307692308</c:v>
                </c:pt>
                <c:pt idx="15">
                  <c:v>3.5</c:v>
                </c:pt>
                <c:pt idx="16">
                  <c:v>3.9615384615384617</c:v>
                </c:pt>
                <c:pt idx="17">
                  <c:v>4.5</c:v>
                </c:pt>
                <c:pt idx="18">
                  <c:v>2.3461538461538463</c:v>
                </c:pt>
                <c:pt idx="19">
                  <c:v>3.1538461538461537</c:v>
                </c:pt>
                <c:pt idx="20">
                  <c:v>4.115384615384615</c:v>
                </c:pt>
                <c:pt idx="21">
                  <c:v>3.1538461538461537</c:v>
                </c:pt>
                <c:pt idx="22">
                  <c:v>3.7307692307692308</c:v>
                </c:pt>
                <c:pt idx="23">
                  <c:v>4.3076923076923075</c:v>
                </c:pt>
                <c:pt idx="24">
                  <c:v>3.4615384615384617</c:v>
                </c:pt>
                <c:pt idx="25">
                  <c:v>4.1923076923076925</c:v>
                </c:pt>
                <c:pt idx="26">
                  <c:v>4.5</c:v>
                </c:pt>
                <c:pt idx="27">
                  <c:v>1.6153846153846154</c:v>
                </c:pt>
                <c:pt idx="28">
                  <c:v>2.6153846153846154</c:v>
                </c:pt>
                <c:pt idx="29">
                  <c:v>3.4615384615384617</c:v>
                </c:pt>
                <c:pt idx="30">
                  <c:v>2.4230769230769229</c:v>
                </c:pt>
                <c:pt idx="31">
                  <c:v>3.1923076923076925</c:v>
                </c:pt>
                <c:pt idx="32">
                  <c:v>3.9615384615384617</c:v>
                </c:pt>
                <c:pt idx="33">
                  <c:v>3.1923076923076925</c:v>
                </c:pt>
                <c:pt idx="34">
                  <c:v>3.6923076923076925</c:v>
                </c:pt>
                <c:pt idx="35">
                  <c:v>4.384615384615385</c:v>
                </c:pt>
                <c:pt idx="36">
                  <c:v>1.8076923076923077</c:v>
                </c:pt>
                <c:pt idx="37">
                  <c:v>2.6538461538461537</c:v>
                </c:pt>
                <c:pt idx="38">
                  <c:v>3.6153846153846154</c:v>
                </c:pt>
                <c:pt idx="39">
                  <c:v>2.7692307692307692</c:v>
                </c:pt>
                <c:pt idx="40">
                  <c:v>3.4615384615384617</c:v>
                </c:pt>
                <c:pt idx="41">
                  <c:v>4.3076923076923075</c:v>
                </c:pt>
                <c:pt idx="42">
                  <c:v>3.5769230769230771</c:v>
                </c:pt>
                <c:pt idx="43">
                  <c:v>4</c:v>
                </c:pt>
                <c:pt idx="44">
                  <c:v>4.615384615384615</c:v>
                </c:pt>
                <c:pt idx="45">
                  <c:v>2.5769230769230771</c:v>
                </c:pt>
                <c:pt idx="46">
                  <c:v>3.5</c:v>
                </c:pt>
                <c:pt idx="47">
                  <c:v>4.2307692307692308</c:v>
                </c:pt>
                <c:pt idx="48">
                  <c:v>3.1923076923076925</c:v>
                </c:pt>
                <c:pt idx="49">
                  <c:v>3.9615384615384617</c:v>
                </c:pt>
                <c:pt idx="50">
                  <c:v>4.5384615384615383</c:v>
                </c:pt>
                <c:pt idx="51">
                  <c:v>3.9230769230769229</c:v>
                </c:pt>
                <c:pt idx="52">
                  <c:v>4.4230769230769234</c:v>
                </c:pt>
                <c:pt idx="53">
                  <c:v>4.7692307692307692</c:v>
                </c:pt>
                <c:pt idx="54">
                  <c:v>1.5769230769230769</c:v>
                </c:pt>
                <c:pt idx="55">
                  <c:v>2.2692307692307692</c:v>
                </c:pt>
                <c:pt idx="56">
                  <c:v>3.2307692307692308</c:v>
                </c:pt>
                <c:pt idx="57">
                  <c:v>2.3461538461538463</c:v>
                </c:pt>
                <c:pt idx="58">
                  <c:v>2.7307692307692308</c:v>
                </c:pt>
                <c:pt idx="59">
                  <c:v>3.6923076923076925</c:v>
                </c:pt>
                <c:pt idx="60">
                  <c:v>3.6153846153846154</c:v>
                </c:pt>
                <c:pt idx="61">
                  <c:v>4.0769230769230766</c:v>
                </c:pt>
                <c:pt idx="62">
                  <c:v>4.384615384615385</c:v>
                </c:pt>
                <c:pt idx="63">
                  <c:v>2.4615384615384617</c:v>
                </c:pt>
                <c:pt idx="64">
                  <c:v>3.1538461538461537</c:v>
                </c:pt>
                <c:pt idx="65">
                  <c:v>4.0769230769230766</c:v>
                </c:pt>
                <c:pt idx="66">
                  <c:v>3.0769230769230771</c:v>
                </c:pt>
                <c:pt idx="67">
                  <c:v>3.6923076923076925</c:v>
                </c:pt>
                <c:pt idx="68">
                  <c:v>4.1923076923076925</c:v>
                </c:pt>
                <c:pt idx="69">
                  <c:v>3.7307692307692308</c:v>
                </c:pt>
                <c:pt idx="70">
                  <c:v>4.2307692307692308</c:v>
                </c:pt>
                <c:pt idx="71">
                  <c:v>4.5384615384615383</c:v>
                </c:pt>
                <c:pt idx="72">
                  <c:v>2.7307692307692308</c:v>
                </c:pt>
                <c:pt idx="73">
                  <c:v>3.4230769230769229</c:v>
                </c:pt>
                <c:pt idx="74">
                  <c:v>4.3076923076923075</c:v>
                </c:pt>
                <c:pt idx="75">
                  <c:v>3.4615384615384617</c:v>
                </c:pt>
                <c:pt idx="76">
                  <c:v>4.1923076923076925</c:v>
                </c:pt>
                <c:pt idx="77">
                  <c:v>4.5</c:v>
                </c:pt>
                <c:pt idx="78">
                  <c:v>4.115384615384615</c:v>
                </c:pt>
                <c:pt idx="79">
                  <c:v>4.5769230769230766</c:v>
                </c:pt>
                <c:pt idx="80">
                  <c:v>4.615384615384615</c:v>
                </c:pt>
              </c:numCache>
            </c:numRef>
          </c:xVal>
          <c:yVal>
            <c:numRef>
              <c:f>Foglio1!$C$2:$C$82</c:f>
              <c:numCache>
                <c:formatCode>0.00</c:formatCode>
                <c:ptCount val="81"/>
                <c:pt idx="0">
                  <c:v>2.1116676330566411</c:v>
                </c:pt>
                <c:pt idx="1">
                  <c:v>2.6462054252624512</c:v>
                </c:pt>
                <c:pt idx="2">
                  <c:v>3.663224458694458</c:v>
                </c:pt>
                <c:pt idx="3">
                  <c:v>2.4154052734375</c:v>
                </c:pt>
                <c:pt idx="4">
                  <c:v>2.9368066787719731</c:v>
                </c:pt>
                <c:pt idx="5">
                  <c:v>3.8746824264526372</c:v>
                </c:pt>
                <c:pt idx="6">
                  <c:v>2.9540433883666992</c:v>
                </c:pt>
                <c:pt idx="7">
                  <c:v>3.6371827125549321</c:v>
                </c:pt>
                <c:pt idx="8">
                  <c:v>4.318516731262207</c:v>
                </c:pt>
                <c:pt idx="9">
                  <c:v>2.6327733993530269</c:v>
                </c:pt>
                <c:pt idx="10">
                  <c:v>3.4244837760925289</c:v>
                </c:pt>
                <c:pt idx="11">
                  <c:v>4.2435812950134277</c:v>
                </c:pt>
                <c:pt idx="12">
                  <c:v>2.641654491424561</c:v>
                </c:pt>
                <c:pt idx="13">
                  <c:v>3.557131290435791</c:v>
                </c:pt>
                <c:pt idx="14">
                  <c:v>4.3591427803039551</c:v>
                </c:pt>
                <c:pt idx="15">
                  <c:v>3.703814029693604</c:v>
                </c:pt>
                <c:pt idx="16">
                  <c:v>4.2775754928588867</c:v>
                </c:pt>
                <c:pt idx="17">
                  <c:v>4.6328549385070801</c:v>
                </c:pt>
                <c:pt idx="18">
                  <c:v>2.4236559867858891</c:v>
                </c:pt>
                <c:pt idx="19">
                  <c:v>3.1995854377746582</c:v>
                </c:pt>
                <c:pt idx="20">
                  <c:v>3.9462623596191411</c:v>
                </c:pt>
                <c:pt idx="21">
                  <c:v>2.7546501159667969</c:v>
                </c:pt>
                <c:pt idx="22">
                  <c:v>3.7889375686645508</c:v>
                </c:pt>
                <c:pt idx="23">
                  <c:v>4.4743332862854004</c:v>
                </c:pt>
                <c:pt idx="24">
                  <c:v>3.7740452289581299</c:v>
                </c:pt>
                <c:pt idx="25">
                  <c:v>4.2984418869018546</c:v>
                </c:pt>
                <c:pt idx="26">
                  <c:v>4.6240277290344238</c:v>
                </c:pt>
                <c:pt idx="27">
                  <c:v>1.86803674697876</c:v>
                </c:pt>
                <c:pt idx="28">
                  <c:v>2.2379944324493408</c:v>
                </c:pt>
                <c:pt idx="29">
                  <c:v>3.3484077453613281</c:v>
                </c:pt>
                <c:pt idx="30">
                  <c:v>2.30231785774231</c:v>
                </c:pt>
                <c:pt idx="31">
                  <c:v>3.262797594070435</c:v>
                </c:pt>
                <c:pt idx="32">
                  <c:v>4.313962459564209</c:v>
                </c:pt>
                <c:pt idx="33">
                  <c:v>3.4540238380432129</c:v>
                </c:pt>
                <c:pt idx="34">
                  <c:v>3.988066673278809</c:v>
                </c:pt>
                <c:pt idx="35">
                  <c:v>4.5117154121398926</c:v>
                </c:pt>
                <c:pt idx="36">
                  <c:v>2.208032369613647</c:v>
                </c:pt>
                <c:pt idx="37">
                  <c:v>2.8918533325195308</c:v>
                </c:pt>
                <c:pt idx="38">
                  <c:v>3.9771041870117192</c:v>
                </c:pt>
                <c:pt idx="39">
                  <c:v>2.717284202575684</c:v>
                </c:pt>
                <c:pt idx="40">
                  <c:v>3.5817785263061519</c:v>
                </c:pt>
                <c:pt idx="41">
                  <c:v>4.4481377601623544</c:v>
                </c:pt>
                <c:pt idx="42">
                  <c:v>3.9953958988189702</c:v>
                </c:pt>
                <c:pt idx="43">
                  <c:v>4.4888138771057129</c:v>
                </c:pt>
                <c:pt idx="44">
                  <c:v>4.7008833885192871</c:v>
                </c:pt>
                <c:pt idx="45">
                  <c:v>2.6164779663085942</c:v>
                </c:pt>
                <c:pt idx="46">
                  <c:v>3.47364354133606</c:v>
                </c:pt>
                <c:pt idx="47">
                  <c:v>4.374976634979248</c:v>
                </c:pt>
                <c:pt idx="48">
                  <c:v>2.9905052185058589</c:v>
                </c:pt>
                <c:pt idx="49">
                  <c:v>3.9783070087432861</c:v>
                </c:pt>
                <c:pt idx="50">
                  <c:v>4.6268858909606934</c:v>
                </c:pt>
                <c:pt idx="51">
                  <c:v>3.9893712997436519</c:v>
                </c:pt>
                <c:pt idx="52">
                  <c:v>4.4618048667907706</c:v>
                </c:pt>
                <c:pt idx="53">
                  <c:v>4.6925516128540039</c:v>
                </c:pt>
                <c:pt idx="54">
                  <c:v>1.7997632026672361</c:v>
                </c:pt>
                <c:pt idx="55">
                  <c:v>2.133859395980835</c:v>
                </c:pt>
                <c:pt idx="56">
                  <c:v>2.8850424289703369</c:v>
                </c:pt>
                <c:pt idx="57">
                  <c:v>2.3195927143096919</c:v>
                </c:pt>
                <c:pt idx="58">
                  <c:v>2.8724737167358398</c:v>
                </c:pt>
                <c:pt idx="59">
                  <c:v>3.814459085464478</c:v>
                </c:pt>
                <c:pt idx="60">
                  <c:v>3.6884529590606689</c:v>
                </c:pt>
                <c:pt idx="61">
                  <c:v>4.3580374717712402</c:v>
                </c:pt>
                <c:pt idx="62">
                  <c:v>4.6535153388977051</c:v>
                </c:pt>
                <c:pt idx="63">
                  <c:v>2.6438438892364502</c:v>
                </c:pt>
                <c:pt idx="64">
                  <c:v>3.2628734111785889</c:v>
                </c:pt>
                <c:pt idx="65">
                  <c:v>4.1710114479064941</c:v>
                </c:pt>
                <c:pt idx="66">
                  <c:v>3.1104402542114258</c:v>
                </c:pt>
                <c:pt idx="67">
                  <c:v>3.736653089523315</c:v>
                </c:pt>
                <c:pt idx="68">
                  <c:v>4.3866548538208008</c:v>
                </c:pt>
                <c:pt idx="69">
                  <c:v>3.95844554901123</c:v>
                </c:pt>
                <c:pt idx="70">
                  <c:v>4.492335319519043</c:v>
                </c:pt>
                <c:pt idx="71">
                  <c:v>4.6912837028503418</c:v>
                </c:pt>
                <c:pt idx="72">
                  <c:v>2.5859484672546391</c:v>
                </c:pt>
                <c:pt idx="73">
                  <c:v>3.3001084327697749</c:v>
                </c:pt>
                <c:pt idx="74">
                  <c:v>4.223780632019043</c:v>
                </c:pt>
                <c:pt idx="75">
                  <c:v>2.8573341369628911</c:v>
                </c:pt>
                <c:pt idx="76">
                  <c:v>4.1988711357116699</c:v>
                </c:pt>
                <c:pt idx="77">
                  <c:v>4.6735448837280273</c:v>
                </c:pt>
                <c:pt idx="78">
                  <c:v>4.0624179840087891</c:v>
                </c:pt>
                <c:pt idx="79">
                  <c:v>4.5274844169616699</c:v>
                </c:pt>
                <c:pt idx="80">
                  <c:v>4.7034859657287598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C-43A9-82A1-CD1F954C5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71504"/>
        <c:axId val="571770064"/>
      </c:scatterChart>
      <c:valAx>
        <c:axId val="571771504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SUBJECTIVE MOS</a:t>
                </a:r>
              </a:p>
            </c:rich>
          </c:tx>
          <c:layout>
            <c:manualLayout>
              <c:xMode val="edge"/>
              <c:yMode val="edge"/>
              <c:x val="0.4747314085739282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1770064"/>
        <c:crosses val="autoZero"/>
        <c:crossBetween val="midCat"/>
      </c:valAx>
      <c:valAx>
        <c:axId val="57177006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PREDICTED</a:t>
                </a:r>
                <a:r>
                  <a:rPr lang="it-IT" baseline="0"/>
                  <a:t> MOS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177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ISTOGRAMMA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ISTOGRAMMA</a:t>
          </a:r>
        </a:p>
      </cx:txPr>
    </cx:title>
    <cx:plotArea>
      <cx:plotAreaRegion>
        <cx:series layoutId="clusteredColumn" uniqueId="{4E3F3FAC-E0A7-48C6-ABC8-9EB5EC4E7CF5}">
          <cx:tx>
            <cx:txData>
              <cx:f>_xlchart.v1.0</cx:f>
              <cx:v>absolute error</cx:v>
            </cx:txData>
          </cx:tx>
          <cx:spPr>
            <a:solidFill>
              <a:srgbClr val="C00000"/>
            </a:solidFill>
            <a:ln w="3175">
              <a:solidFill>
                <a:schemeClr val="tx1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it-IT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645317</xdr:colOff>
      <xdr:row>11</xdr:row>
      <xdr:rowOff>9525</xdr:rowOff>
    </xdr:from>
    <xdr:to>
      <xdr:col>11</xdr:col>
      <xdr:colOff>633412</xdr:colOff>
      <xdr:row>24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AC0141D-6790-6B0E-0DF3-52EF0109C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11905</xdr:colOff>
      <xdr:row>24</xdr:row>
      <xdr:rowOff>166688</xdr:rowOff>
    </xdr:from>
    <xdr:to>
      <xdr:col>11</xdr:col>
      <xdr:colOff>638175</xdr:colOff>
      <xdr:row>40</xdr:row>
      <xdr:rowOff>14288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2685ECC1-6FC8-1BD7-FF6B-EEA8086987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7705" y="4586288"/>
              <a:ext cx="364252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>
      <selection activeCell="M7" sqref="M7"/>
    </sheetView>
  </sheetViews>
  <sheetFormatPr defaultRowHeight="14.5" x14ac:dyDescent="0.35"/>
  <cols>
    <col min="1" max="1" width="16.81640625" style="3" customWidth="1"/>
    <col min="2" max="2" width="15.453125" style="5" customWidth="1"/>
    <col min="3" max="3" width="13.08984375" style="5" customWidth="1"/>
    <col min="4" max="4" width="13.81640625" style="5" customWidth="1"/>
    <col min="5" max="5" width="14.6328125" style="2" customWidth="1"/>
  </cols>
  <sheetData>
    <row r="1" spans="1:13" x14ac:dyDescent="0.35">
      <c r="A1" s="1" t="s">
        <v>0</v>
      </c>
      <c r="B1" s="4" t="s">
        <v>1</v>
      </c>
      <c r="C1" s="4" t="s">
        <v>2</v>
      </c>
      <c r="D1" s="4" t="s">
        <v>30</v>
      </c>
      <c r="E1" s="1" t="s">
        <v>31</v>
      </c>
    </row>
    <row r="2" spans="1:13" x14ac:dyDescent="0.35">
      <c r="A2" s="3" t="s">
        <v>3</v>
      </c>
      <c r="B2" s="5">
        <v>1.8846153846153846</v>
      </c>
      <c r="C2" s="5">
        <v>2.1116676330566411</v>
      </c>
      <c r="D2" s="5">
        <f>ABS(B2-C2)</f>
        <v>0.22705224844125649</v>
      </c>
      <c r="E2" s="5">
        <f>(B2-C2)^2</f>
        <v>5.1552723522230059E-2</v>
      </c>
    </row>
    <row r="3" spans="1:13" x14ac:dyDescent="0.35">
      <c r="A3" s="3" t="s">
        <v>3</v>
      </c>
      <c r="B3" s="5">
        <v>2.6153846153846154</v>
      </c>
      <c r="C3" s="5">
        <v>2.6462054252624512</v>
      </c>
      <c r="D3" s="5">
        <f t="shared" ref="D3:D66" si="0">ABS(B3-C3)</f>
        <v>3.0820809877835753E-2</v>
      </c>
      <c r="E3" s="5">
        <f t="shared" ref="E3:E66" si="1">(B3-C3)^2</f>
        <v>9.4992232152569796E-4</v>
      </c>
    </row>
    <row r="4" spans="1:13" x14ac:dyDescent="0.35">
      <c r="A4" s="3" t="s">
        <v>3</v>
      </c>
      <c r="B4" s="5">
        <v>3.6538461538461537</v>
      </c>
      <c r="C4" s="5">
        <v>3.663224458694458</v>
      </c>
      <c r="D4" s="5">
        <f t="shared" si="0"/>
        <v>9.3783048483042641E-3</v>
      </c>
      <c r="E4" s="5">
        <f t="shared" si="1"/>
        <v>8.7952601827727262E-5</v>
      </c>
    </row>
    <row r="5" spans="1:13" x14ac:dyDescent="0.35">
      <c r="A5" s="3" t="s">
        <v>4</v>
      </c>
      <c r="B5" s="5">
        <v>2.2307692307692308</v>
      </c>
      <c r="C5" s="5">
        <v>2.4154052734375</v>
      </c>
      <c r="D5" s="5">
        <f t="shared" si="0"/>
        <v>0.18463604266826916</v>
      </c>
      <c r="E5" s="5">
        <f t="shared" si="1"/>
        <v>3.4090468252198913E-2</v>
      </c>
      <c r="I5" s="6" t="s">
        <v>34</v>
      </c>
      <c r="J5" s="6" t="s">
        <v>35</v>
      </c>
      <c r="L5" s="6" t="s">
        <v>36</v>
      </c>
      <c r="M5" s="6" t="s">
        <v>37</v>
      </c>
    </row>
    <row r="6" spans="1:13" x14ac:dyDescent="0.35">
      <c r="A6" s="3" t="s">
        <v>4</v>
      </c>
      <c r="B6" s="5">
        <v>3</v>
      </c>
      <c r="C6" s="5">
        <v>2.9368066787719731</v>
      </c>
      <c r="D6" s="5">
        <f t="shared" si="0"/>
        <v>6.31933212280269E-2</v>
      </c>
      <c r="E6" s="5">
        <f t="shared" si="1"/>
        <v>3.9933958478285949E-3</v>
      </c>
      <c r="I6" s="7">
        <f>MIN(D2:D82)</f>
        <v>6.5634434039774092E-3</v>
      </c>
      <c r="J6" s="7">
        <f>MAX(D2:D82)</f>
        <v>0.60420432457557061</v>
      </c>
      <c r="L6" s="8">
        <f>CORREL(B2:B82,C2:C82)</f>
        <v>0.9746443865627108</v>
      </c>
      <c r="M6" s="8" cm="1">
        <f t="array" ref="M6">CORREL(_xlfn.RANK.AVG(B2:B82,B2:B82),_xlfn.RANK.AVG(C2:C82,C2:C82))</f>
        <v>0.97684354836386478</v>
      </c>
    </row>
    <row r="7" spans="1:13" x14ac:dyDescent="0.35">
      <c r="A7" s="3" t="s">
        <v>4</v>
      </c>
      <c r="B7" s="5">
        <v>3.8076923076923075</v>
      </c>
      <c r="C7" s="5">
        <v>3.8746824264526372</v>
      </c>
      <c r="D7" s="5">
        <f t="shared" si="0"/>
        <v>6.6990118760329675E-2</v>
      </c>
      <c r="E7" s="5">
        <f t="shared" si="1"/>
        <v>4.4876760115230736E-3</v>
      </c>
    </row>
    <row r="8" spans="1:13" x14ac:dyDescent="0.35">
      <c r="A8" s="3" t="s">
        <v>5</v>
      </c>
      <c r="B8" s="5">
        <v>2.8076923076923075</v>
      </c>
      <c r="C8" s="5">
        <v>2.9540433883666992</v>
      </c>
      <c r="D8" s="5">
        <f t="shared" si="0"/>
        <v>0.14635108067439173</v>
      </c>
      <c r="E8" s="5">
        <f t="shared" si="1"/>
        <v>2.1418638814562317E-2</v>
      </c>
      <c r="I8" s="6" t="s">
        <v>32</v>
      </c>
      <c r="J8" s="6" t="s">
        <v>33</v>
      </c>
    </row>
    <row r="9" spans="1:13" x14ac:dyDescent="0.35">
      <c r="A9" s="3" t="s">
        <v>5</v>
      </c>
      <c r="B9" s="5">
        <v>3.6538461538461537</v>
      </c>
      <c r="C9" s="5">
        <v>3.6371827125549321</v>
      </c>
      <c r="D9" s="5">
        <f t="shared" si="0"/>
        <v>1.6663441291221659E-2</v>
      </c>
      <c r="E9" s="5">
        <f t="shared" si="1"/>
        <v>2.7767027566599095E-4</v>
      </c>
      <c r="I9" s="7">
        <f>AVERAGE(D2:D82)</f>
        <v>0.16012566155291466</v>
      </c>
      <c r="J9" s="8">
        <f>SQRT(AVERAGE(E2:E82))</f>
        <v>0.20151200299866523</v>
      </c>
    </row>
    <row r="10" spans="1:13" x14ac:dyDescent="0.35">
      <c r="A10" s="3" t="s">
        <v>5</v>
      </c>
      <c r="B10" s="5">
        <v>4.115384615384615</v>
      </c>
      <c r="C10" s="5">
        <v>4.318516731262207</v>
      </c>
      <c r="D10" s="5">
        <f t="shared" si="0"/>
        <v>0.20313211587759206</v>
      </c>
      <c r="E10" s="5">
        <f t="shared" si="1"/>
        <v>4.1262656500907484E-2</v>
      </c>
    </row>
    <row r="11" spans="1:13" x14ac:dyDescent="0.35">
      <c r="A11" s="3" t="s">
        <v>6</v>
      </c>
      <c r="B11" s="5">
        <v>2.5769230769230771</v>
      </c>
      <c r="C11" s="5">
        <v>2.6327733993530269</v>
      </c>
      <c r="D11" s="5">
        <f t="shared" si="0"/>
        <v>5.5850322429949806E-2</v>
      </c>
      <c r="E11" s="5">
        <f t="shared" si="1"/>
        <v>3.1192585155293542E-3</v>
      </c>
    </row>
    <row r="12" spans="1:13" x14ac:dyDescent="0.35">
      <c r="A12" s="3" t="s">
        <v>6</v>
      </c>
      <c r="B12" s="5">
        <v>3.2692307692307692</v>
      </c>
      <c r="C12" s="5">
        <v>3.4244837760925289</v>
      </c>
      <c r="D12" s="5">
        <f t="shared" si="0"/>
        <v>0.15525300686175969</v>
      </c>
      <c r="E12" s="5">
        <f t="shared" si="1"/>
        <v>2.4103496139617601E-2</v>
      </c>
    </row>
    <row r="13" spans="1:13" x14ac:dyDescent="0.35">
      <c r="A13" s="3" t="s">
        <v>6</v>
      </c>
      <c r="B13" s="5">
        <v>3.9615384615384617</v>
      </c>
      <c r="C13" s="5">
        <v>4.2435812950134277</v>
      </c>
      <c r="D13" s="5">
        <f t="shared" si="0"/>
        <v>0.28204283347496606</v>
      </c>
      <c r="E13" s="5">
        <f t="shared" si="1"/>
        <v>7.9548159914587441E-2</v>
      </c>
    </row>
    <row r="14" spans="1:13" x14ac:dyDescent="0.35">
      <c r="A14" s="3" t="s">
        <v>7</v>
      </c>
      <c r="B14" s="5">
        <v>2.6923076923076925</v>
      </c>
      <c r="C14" s="5">
        <v>2.641654491424561</v>
      </c>
      <c r="D14" s="5">
        <f t="shared" si="0"/>
        <v>5.0653200883131522E-2</v>
      </c>
      <c r="E14" s="5">
        <f t="shared" si="1"/>
        <v>2.5657467597068758E-3</v>
      </c>
    </row>
    <row r="15" spans="1:13" x14ac:dyDescent="0.35">
      <c r="A15" s="3" t="s">
        <v>7</v>
      </c>
      <c r="B15" s="5">
        <v>3.5384615384615383</v>
      </c>
      <c r="C15" s="5">
        <v>3.557131290435791</v>
      </c>
      <c r="D15" s="5">
        <f t="shared" si="0"/>
        <v>1.8669751974252691E-2</v>
      </c>
      <c r="E15" s="5">
        <f t="shared" si="1"/>
        <v>3.4855963878011227E-4</v>
      </c>
    </row>
    <row r="16" spans="1:13" x14ac:dyDescent="0.35">
      <c r="A16" s="3" t="s">
        <v>7</v>
      </c>
      <c r="B16" s="5">
        <v>4.2307692307692308</v>
      </c>
      <c r="C16" s="5">
        <v>4.3591427803039551</v>
      </c>
      <c r="D16" s="5">
        <f t="shared" si="0"/>
        <v>0.12837354953472424</v>
      </c>
      <c r="E16" s="5">
        <f t="shared" si="1"/>
        <v>1.6479768220144297E-2</v>
      </c>
    </row>
    <row r="17" spans="1:5" x14ac:dyDescent="0.35">
      <c r="A17" s="3" t="s">
        <v>8</v>
      </c>
      <c r="B17" s="5">
        <v>3.5</v>
      </c>
      <c r="C17" s="5">
        <v>3.703814029693604</v>
      </c>
      <c r="D17" s="5">
        <f t="shared" si="0"/>
        <v>0.20381402969360396</v>
      </c>
      <c r="E17" s="5">
        <f t="shared" si="1"/>
        <v>4.1540158699945276E-2</v>
      </c>
    </row>
    <row r="18" spans="1:5" x14ac:dyDescent="0.35">
      <c r="A18" s="3" t="s">
        <v>8</v>
      </c>
      <c r="B18" s="5">
        <v>3.9615384615384617</v>
      </c>
      <c r="C18" s="5">
        <v>4.2775754928588867</v>
      </c>
      <c r="D18" s="5">
        <f t="shared" si="0"/>
        <v>0.31603703132042504</v>
      </c>
      <c r="E18" s="5">
        <f t="shared" si="1"/>
        <v>9.9879405165827315E-2</v>
      </c>
    </row>
    <row r="19" spans="1:5" x14ac:dyDescent="0.35">
      <c r="A19" s="3" t="s">
        <v>8</v>
      </c>
      <c r="B19" s="5">
        <v>4.5</v>
      </c>
      <c r="C19" s="5">
        <v>4.6328549385070801</v>
      </c>
      <c r="D19" s="5">
        <f t="shared" si="0"/>
        <v>0.13285493850708008</v>
      </c>
      <c r="E19" s="5">
        <f t="shared" si="1"/>
        <v>1.7650434685720029E-2</v>
      </c>
    </row>
    <row r="20" spans="1:5" x14ac:dyDescent="0.35">
      <c r="A20" s="3" t="s">
        <v>9</v>
      </c>
      <c r="B20" s="5">
        <v>2.3461538461538463</v>
      </c>
      <c r="C20" s="5">
        <v>2.4236559867858891</v>
      </c>
      <c r="D20" s="5">
        <f t="shared" si="0"/>
        <v>7.750214063204286E-2</v>
      </c>
      <c r="E20" s="5">
        <f t="shared" si="1"/>
        <v>6.0065818025489487E-3</v>
      </c>
    </row>
    <row r="21" spans="1:5" x14ac:dyDescent="0.35">
      <c r="A21" s="3" t="s">
        <v>9</v>
      </c>
      <c r="B21" s="5">
        <v>3.1538461538461537</v>
      </c>
      <c r="C21" s="5">
        <v>3.1995854377746582</v>
      </c>
      <c r="D21" s="5">
        <f t="shared" si="0"/>
        <v>4.5739283928504459E-2</v>
      </c>
      <c r="E21" s="5">
        <f t="shared" si="1"/>
        <v>2.0920820942923464E-3</v>
      </c>
    </row>
    <row r="22" spans="1:5" x14ac:dyDescent="0.35">
      <c r="A22" s="3" t="s">
        <v>9</v>
      </c>
      <c r="B22" s="5">
        <v>4.115384615384615</v>
      </c>
      <c r="C22" s="5">
        <v>3.9462623596191411</v>
      </c>
      <c r="D22" s="5">
        <f t="shared" si="0"/>
        <v>0.16912225576547391</v>
      </c>
      <c r="E22" s="5">
        <f t="shared" si="1"/>
        <v>2.8602337395202373E-2</v>
      </c>
    </row>
    <row r="23" spans="1:5" x14ac:dyDescent="0.35">
      <c r="A23" s="3" t="s">
        <v>10</v>
      </c>
      <c r="B23" s="5">
        <v>3.1538461538461537</v>
      </c>
      <c r="C23" s="5">
        <v>2.7546501159667969</v>
      </c>
      <c r="D23" s="5">
        <f t="shared" si="0"/>
        <v>0.39919603787935687</v>
      </c>
      <c r="E23" s="5">
        <f t="shared" si="1"/>
        <v>0.15935747665857691</v>
      </c>
    </row>
    <row r="24" spans="1:5" x14ac:dyDescent="0.35">
      <c r="A24" s="3" t="s">
        <v>10</v>
      </c>
      <c r="B24" s="5">
        <v>3.7307692307692308</v>
      </c>
      <c r="C24" s="5">
        <v>3.7889375686645508</v>
      </c>
      <c r="D24" s="5">
        <f t="shared" si="0"/>
        <v>5.8168337895319944E-2</v>
      </c>
      <c r="E24" s="5">
        <f t="shared" si="1"/>
        <v>3.383555533504114E-3</v>
      </c>
    </row>
    <row r="25" spans="1:5" x14ac:dyDescent="0.35">
      <c r="A25" s="3" t="s">
        <v>10</v>
      </c>
      <c r="B25" s="5">
        <v>4.3076923076923075</v>
      </c>
      <c r="C25" s="5">
        <v>4.4743332862854004</v>
      </c>
      <c r="D25" s="5">
        <f t="shared" si="0"/>
        <v>0.1666409785930929</v>
      </c>
      <c r="E25" s="5">
        <f t="shared" si="1"/>
        <v>2.7769215746463648E-2</v>
      </c>
    </row>
    <row r="26" spans="1:5" x14ac:dyDescent="0.35">
      <c r="A26" s="3" t="s">
        <v>11</v>
      </c>
      <c r="B26" s="5">
        <v>3.4615384615384617</v>
      </c>
      <c r="C26" s="5">
        <v>3.7740452289581299</v>
      </c>
      <c r="D26" s="5">
        <f t="shared" si="0"/>
        <v>0.31250676741966821</v>
      </c>
      <c r="E26" s="5">
        <f t="shared" si="1"/>
        <v>9.7660479683090592E-2</v>
      </c>
    </row>
    <row r="27" spans="1:5" x14ac:dyDescent="0.35">
      <c r="A27" s="3" t="s">
        <v>11</v>
      </c>
      <c r="B27" s="5">
        <v>4.1923076923076925</v>
      </c>
      <c r="C27" s="5">
        <v>4.2984418869018546</v>
      </c>
      <c r="D27" s="5">
        <f t="shared" si="0"/>
        <v>0.10613419459416207</v>
      </c>
      <c r="E27" s="5">
        <f t="shared" si="1"/>
        <v>1.126446726215146E-2</v>
      </c>
    </row>
    <row r="28" spans="1:5" x14ac:dyDescent="0.35">
      <c r="A28" s="3" t="s">
        <v>11</v>
      </c>
      <c r="B28" s="5">
        <v>4.5</v>
      </c>
      <c r="C28" s="5">
        <v>4.6240277290344238</v>
      </c>
      <c r="D28" s="5">
        <f t="shared" si="0"/>
        <v>0.12402772903442383</v>
      </c>
      <c r="E28" s="5">
        <f t="shared" si="1"/>
        <v>1.5382877569436459E-2</v>
      </c>
    </row>
    <row r="29" spans="1:5" x14ac:dyDescent="0.35">
      <c r="A29" s="3" t="s">
        <v>12</v>
      </c>
      <c r="B29" s="5">
        <v>1.6153846153846154</v>
      </c>
      <c r="C29" s="5">
        <v>1.86803674697876</v>
      </c>
      <c r="D29" s="5">
        <f t="shared" si="0"/>
        <v>0.25265213159414457</v>
      </c>
      <c r="E29" s="5">
        <f t="shared" si="1"/>
        <v>6.3833099599064941E-2</v>
      </c>
    </row>
    <row r="30" spans="1:5" x14ac:dyDescent="0.35">
      <c r="A30" s="3" t="s">
        <v>12</v>
      </c>
      <c r="B30" s="5">
        <v>2.6153846153846154</v>
      </c>
      <c r="C30" s="5">
        <v>2.2379944324493408</v>
      </c>
      <c r="D30" s="5">
        <f t="shared" si="0"/>
        <v>0.3773901829352746</v>
      </c>
      <c r="E30" s="5">
        <f t="shared" si="1"/>
        <v>0.14242335017592003</v>
      </c>
    </row>
    <row r="31" spans="1:5" x14ac:dyDescent="0.35">
      <c r="A31" s="3" t="s">
        <v>12</v>
      </c>
      <c r="B31" s="5">
        <v>3.4615384615384617</v>
      </c>
      <c r="C31" s="5">
        <v>3.3484077453613281</v>
      </c>
      <c r="D31" s="5">
        <f t="shared" si="0"/>
        <v>0.11313071617713355</v>
      </c>
      <c r="E31" s="5">
        <f t="shared" si="1"/>
        <v>1.2798558942751146E-2</v>
      </c>
    </row>
    <row r="32" spans="1:5" x14ac:dyDescent="0.35">
      <c r="A32" s="3" t="s">
        <v>13</v>
      </c>
      <c r="B32" s="5">
        <v>2.4230769230769229</v>
      </c>
      <c r="C32" s="5">
        <v>2.30231785774231</v>
      </c>
      <c r="D32" s="5">
        <f t="shared" si="0"/>
        <v>0.12075906533461289</v>
      </c>
      <c r="E32" s="5">
        <f t="shared" si="1"/>
        <v>1.4582751860489305E-2</v>
      </c>
    </row>
    <row r="33" spans="1:5" x14ac:dyDescent="0.35">
      <c r="A33" s="3" t="s">
        <v>13</v>
      </c>
      <c r="B33" s="5">
        <v>3.1923076923076925</v>
      </c>
      <c r="C33" s="5">
        <v>3.262797594070435</v>
      </c>
      <c r="D33" s="5">
        <f t="shared" si="0"/>
        <v>7.0489901762742502E-2</v>
      </c>
      <c r="E33" s="5">
        <f t="shared" si="1"/>
        <v>4.9688262505210882E-3</v>
      </c>
    </row>
    <row r="34" spans="1:5" x14ac:dyDescent="0.35">
      <c r="A34" s="3" t="s">
        <v>13</v>
      </c>
      <c r="B34" s="5">
        <v>3.9615384615384617</v>
      </c>
      <c r="C34" s="5">
        <v>4.313962459564209</v>
      </c>
      <c r="D34" s="5">
        <f t="shared" si="0"/>
        <v>0.35242399802574731</v>
      </c>
      <c r="E34" s="5">
        <f t="shared" si="1"/>
        <v>0.12420267438445194</v>
      </c>
    </row>
    <row r="35" spans="1:5" x14ac:dyDescent="0.35">
      <c r="A35" s="3" t="s">
        <v>14</v>
      </c>
      <c r="B35" s="5">
        <v>3.1923076923076925</v>
      </c>
      <c r="C35" s="5">
        <v>3.4540238380432129</v>
      </c>
      <c r="D35" s="5">
        <f t="shared" si="0"/>
        <v>0.26171614573552038</v>
      </c>
      <c r="E35" s="5">
        <f t="shared" si="1"/>
        <v>6.8495340938656141E-2</v>
      </c>
    </row>
    <row r="36" spans="1:5" x14ac:dyDescent="0.35">
      <c r="A36" s="3" t="s">
        <v>14</v>
      </c>
      <c r="B36" s="5">
        <v>3.6923076923076925</v>
      </c>
      <c r="C36" s="5">
        <v>3.988066673278809</v>
      </c>
      <c r="D36" s="5">
        <f t="shared" si="0"/>
        <v>0.29575898097111653</v>
      </c>
      <c r="E36" s="5">
        <f t="shared" si="1"/>
        <v>8.7473374825073266E-2</v>
      </c>
    </row>
    <row r="37" spans="1:5" x14ac:dyDescent="0.35">
      <c r="A37" s="3" t="s">
        <v>14</v>
      </c>
      <c r="B37" s="5">
        <v>4.384615384615385</v>
      </c>
      <c r="C37" s="5">
        <v>4.5117154121398926</v>
      </c>
      <c r="D37" s="5">
        <f t="shared" si="0"/>
        <v>0.12710002752450755</v>
      </c>
      <c r="E37" s="5">
        <f t="shared" si="1"/>
        <v>1.6154416996730578E-2</v>
      </c>
    </row>
    <row r="38" spans="1:5" x14ac:dyDescent="0.35">
      <c r="A38" s="3" t="s">
        <v>15</v>
      </c>
      <c r="B38" s="5">
        <v>1.8076923076923077</v>
      </c>
      <c r="C38" s="5">
        <v>2.208032369613647</v>
      </c>
      <c r="D38" s="5">
        <f t="shared" si="0"/>
        <v>0.40034006192133931</v>
      </c>
      <c r="E38" s="5">
        <f t="shared" si="1"/>
        <v>0.1602721651791818</v>
      </c>
    </row>
    <row r="39" spans="1:5" x14ac:dyDescent="0.35">
      <c r="A39" s="3" t="s">
        <v>15</v>
      </c>
      <c r="B39" s="5">
        <v>2.6538461538461537</v>
      </c>
      <c r="C39" s="5">
        <v>2.8918533325195308</v>
      </c>
      <c r="D39" s="5">
        <f t="shared" si="0"/>
        <v>0.23800717867337706</v>
      </c>
      <c r="E39" s="5">
        <f t="shared" si="1"/>
        <v>5.6647417100060833E-2</v>
      </c>
    </row>
    <row r="40" spans="1:5" x14ac:dyDescent="0.35">
      <c r="A40" s="3" t="s">
        <v>15</v>
      </c>
      <c r="B40" s="5">
        <v>3.6153846153846154</v>
      </c>
      <c r="C40" s="5">
        <v>3.9771041870117192</v>
      </c>
      <c r="D40" s="5">
        <f t="shared" si="0"/>
        <v>0.36171957162710378</v>
      </c>
      <c r="E40" s="5">
        <f t="shared" si="1"/>
        <v>0.13084104849809547</v>
      </c>
    </row>
    <row r="41" spans="1:5" x14ac:dyDescent="0.35">
      <c r="A41" s="3" t="s">
        <v>16</v>
      </c>
      <c r="B41" s="5">
        <v>2.7692307692307692</v>
      </c>
      <c r="C41" s="5">
        <v>2.717284202575684</v>
      </c>
      <c r="D41" s="5">
        <f t="shared" si="0"/>
        <v>5.1946566655085125E-2</v>
      </c>
      <c r="E41" s="5">
        <f t="shared" si="1"/>
        <v>2.6984457872512016E-3</v>
      </c>
    </row>
    <row r="42" spans="1:5" x14ac:dyDescent="0.35">
      <c r="A42" s="3" t="s">
        <v>16</v>
      </c>
      <c r="B42" s="5">
        <v>3.4615384615384617</v>
      </c>
      <c r="C42" s="5">
        <v>3.5817785263061519</v>
      </c>
      <c r="D42" s="5">
        <f t="shared" si="0"/>
        <v>0.12024006476769022</v>
      </c>
      <c r="E42" s="5">
        <f t="shared" si="1"/>
        <v>1.445767317533834E-2</v>
      </c>
    </row>
    <row r="43" spans="1:5" x14ac:dyDescent="0.35">
      <c r="A43" s="3" t="s">
        <v>16</v>
      </c>
      <c r="B43" s="5">
        <v>4.3076923076923075</v>
      </c>
      <c r="C43" s="5">
        <v>4.4481377601623544</v>
      </c>
      <c r="D43" s="5">
        <f t="shared" si="0"/>
        <v>0.14044545247004692</v>
      </c>
      <c r="E43" s="5">
        <f t="shared" si="1"/>
        <v>1.9724925119516207E-2</v>
      </c>
    </row>
    <row r="44" spans="1:5" x14ac:dyDescent="0.35">
      <c r="A44" s="3" t="s">
        <v>17</v>
      </c>
      <c r="B44" s="5">
        <v>3.5769230769230771</v>
      </c>
      <c r="C44" s="5">
        <v>3.9953958988189702</v>
      </c>
      <c r="D44" s="5">
        <f t="shared" si="0"/>
        <v>0.41847282189589308</v>
      </c>
      <c r="E44" s="5">
        <f t="shared" si="1"/>
        <v>0.17511950266551185</v>
      </c>
    </row>
    <row r="45" spans="1:5" x14ac:dyDescent="0.35">
      <c r="A45" s="3" t="s">
        <v>17</v>
      </c>
      <c r="B45" s="5">
        <v>4</v>
      </c>
      <c r="C45" s="5">
        <v>4.4888138771057129</v>
      </c>
      <c r="D45" s="5">
        <f t="shared" si="0"/>
        <v>0.48881387710571289</v>
      </c>
      <c r="E45" s="5">
        <f t="shared" si="1"/>
        <v>0.23893900645111898</v>
      </c>
    </row>
    <row r="46" spans="1:5" x14ac:dyDescent="0.35">
      <c r="A46" s="3" t="s">
        <v>17</v>
      </c>
      <c r="B46" s="5">
        <v>4.615384615384615</v>
      </c>
      <c r="C46" s="5">
        <v>4.7008833885192871</v>
      </c>
      <c r="D46" s="5">
        <f t="shared" si="0"/>
        <v>8.5498773134672135E-2</v>
      </c>
      <c r="E46" s="5">
        <f t="shared" si="1"/>
        <v>7.3100402075341334E-3</v>
      </c>
    </row>
    <row r="47" spans="1:5" x14ac:dyDescent="0.35">
      <c r="A47" s="3" t="s">
        <v>18</v>
      </c>
      <c r="B47" s="5">
        <v>2.5769230769230771</v>
      </c>
      <c r="C47" s="5">
        <v>2.6164779663085942</v>
      </c>
      <c r="D47" s="5">
        <f t="shared" si="0"/>
        <v>3.95548893855171E-2</v>
      </c>
      <c r="E47" s="5">
        <f t="shared" si="1"/>
        <v>1.5645892743004933E-3</v>
      </c>
    </row>
    <row r="48" spans="1:5" x14ac:dyDescent="0.35">
      <c r="A48" s="3" t="s">
        <v>18</v>
      </c>
      <c r="B48" s="5">
        <v>3.5</v>
      </c>
      <c r="C48" s="5">
        <v>3.47364354133606</v>
      </c>
      <c r="D48" s="5">
        <f t="shared" si="0"/>
        <v>2.6356458663939986E-2</v>
      </c>
      <c r="E48" s="5">
        <f t="shared" si="1"/>
        <v>6.9466291330397712E-4</v>
      </c>
    </row>
    <row r="49" spans="1:5" x14ac:dyDescent="0.35">
      <c r="A49" s="3" t="s">
        <v>18</v>
      </c>
      <c r="B49" s="5">
        <v>4.2307692307692308</v>
      </c>
      <c r="C49" s="5">
        <v>4.374976634979248</v>
      </c>
      <c r="D49" s="5">
        <f t="shared" si="0"/>
        <v>0.14420740421001721</v>
      </c>
      <c r="E49" s="5">
        <f t="shared" si="1"/>
        <v>2.0795775428991289E-2</v>
      </c>
    </row>
    <row r="50" spans="1:5" x14ac:dyDescent="0.35">
      <c r="A50" s="3" t="s">
        <v>19</v>
      </c>
      <c r="B50" s="5">
        <v>3.1923076923076925</v>
      </c>
      <c r="C50" s="5">
        <v>2.9905052185058589</v>
      </c>
      <c r="D50" s="5">
        <f t="shared" si="0"/>
        <v>0.20180247380183358</v>
      </c>
      <c r="E50" s="5">
        <f t="shared" si="1"/>
        <v>4.0724238432539729E-2</v>
      </c>
    </row>
    <row r="51" spans="1:5" x14ac:dyDescent="0.35">
      <c r="A51" s="3" t="s">
        <v>19</v>
      </c>
      <c r="B51" s="5">
        <v>3.9615384615384617</v>
      </c>
      <c r="C51" s="5">
        <v>3.9783070087432861</v>
      </c>
      <c r="D51" s="5">
        <f t="shared" si="0"/>
        <v>1.6768547204824458E-2</v>
      </c>
      <c r="E51" s="5">
        <f t="shared" si="1"/>
        <v>2.8118417536042613E-4</v>
      </c>
    </row>
    <row r="52" spans="1:5" x14ac:dyDescent="0.35">
      <c r="A52" s="3" t="s">
        <v>19</v>
      </c>
      <c r="B52" s="5">
        <v>4.5384615384615383</v>
      </c>
      <c r="C52" s="5">
        <v>4.6268858909606934</v>
      </c>
      <c r="D52" s="5">
        <f t="shared" si="0"/>
        <v>8.8424352499155034E-2</v>
      </c>
      <c r="E52" s="5">
        <f t="shared" si="1"/>
        <v>7.8188661148948253E-3</v>
      </c>
    </row>
    <row r="53" spans="1:5" x14ac:dyDescent="0.35">
      <c r="A53" s="3" t="s">
        <v>20</v>
      </c>
      <c r="B53" s="5">
        <v>3.9230769230769229</v>
      </c>
      <c r="C53" s="5">
        <v>3.9893712997436519</v>
      </c>
      <c r="D53" s="5">
        <f t="shared" si="0"/>
        <v>6.6294376666728994E-2</v>
      </c>
      <c r="E53" s="5">
        <f t="shared" si="1"/>
        <v>4.394944377630142E-3</v>
      </c>
    </row>
    <row r="54" spans="1:5" x14ac:dyDescent="0.35">
      <c r="A54" s="3" t="s">
        <v>20</v>
      </c>
      <c r="B54" s="5">
        <v>4.4230769230769234</v>
      </c>
      <c r="C54" s="5">
        <v>4.4618048667907706</v>
      </c>
      <c r="D54" s="5">
        <f t="shared" si="0"/>
        <v>3.8727943713847246E-2</v>
      </c>
      <c r="E54" s="5">
        <f t="shared" si="1"/>
        <v>1.4998536243029203E-3</v>
      </c>
    </row>
    <row r="55" spans="1:5" x14ac:dyDescent="0.35">
      <c r="A55" s="3" t="s">
        <v>20</v>
      </c>
      <c r="B55" s="5">
        <v>4.7692307692307692</v>
      </c>
      <c r="C55" s="5">
        <v>4.6925516128540039</v>
      </c>
      <c r="D55" s="5">
        <f t="shared" si="0"/>
        <v>7.6679156376765256E-2</v>
      </c>
      <c r="E55" s="5">
        <f t="shared" si="1"/>
        <v>5.8796930226524199E-3</v>
      </c>
    </row>
    <row r="56" spans="1:5" x14ac:dyDescent="0.35">
      <c r="A56" s="3" t="s">
        <v>21</v>
      </c>
      <c r="B56" s="5">
        <v>1.5769230769230769</v>
      </c>
      <c r="C56" s="5">
        <v>1.7997632026672361</v>
      </c>
      <c r="D56" s="5">
        <f t="shared" si="0"/>
        <v>0.22284012574415923</v>
      </c>
      <c r="E56" s="5">
        <f t="shared" si="1"/>
        <v>4.9657721641672696E-2</v>
      </c>
    </row>
    <row r="57" spans="1:5" x14ac:dyDescent="0.35">
      <c r="A57" s="3" t="s">
        <v>21</v>
      </c>
      <c r="B57" s="5">
        <v>2.2692307692307692</v>
      </c>
      <c r="C57" s="5">
        <v>2.133859395980835</v>
      </c>
      <c r="D57" s="5">
        <f t="shared" si="0"/>
        <v>0.1353713732499342</v>
      </c>
      <c r="E57" s="5">
        <f t="shared" si="1"/>
        <v>1.8325408695573E-2</v>
      </c>
    </row>
    <row r="58" spans="1:5" x14ac:dyDescent="0.35">
      <c r="A58" s="3" t="s">
        <v>21</v>
      </c>
      <c r="B58" s="5">
        <v>3.2307692307692308</v>
      </c>
      <c r="C58" s="5">
        <v>2.8850424289703369</v>
      </c>
      <c r="D58" s="5">
        <f t="shared" si="0"/>
        <v>0.34572680179889392</v>
      </c>
      <c r="E58" s="5">
        <f t="shared" si="1"/>
        <v>0.11952702148209168</v>
      </c>
    </row>
    <row r="59" spans="1:5" x14ac:dyDescent="0.35">
      <c r="A59" s="3" t="s">
        <v>22</v>
      </c>
      <c r="B59" s="5">
        <v>2.3461538461538463</v>
      </c>
      <c r="C59" s="5">
        <v>2.3195927143096919</v>
      </c>
      <c r="D59" s="5">
        <f t="shared" si="0"/>
        <v>2.6561131844154318E-2</v>
      </c>
      <c r="E59" s="5">
        <f t="shared" si="1"/>
        <v>7.0549372484254858E-4</v>
      </c>
    </row>
    <row r="60" spans="1:5" x14ac:dyDescent="0.35">
      <c r="A60" s="3" t="s">
        <v>22</v>
      </c>
      <c r="B60" s="5">
        <v>2.7307692307692308</v>
      </c>
      <c r="C60" s="5">
        <v>2.8724737167358398</v>
      </c>
      <c r="D60" s="5">
        <f t="shared" si="0"/>
        <v>0.14170448596660901</v>
      </c>
      <c r="E60" s="5">
        <f t="shared" si="1"/>
        <v>2.0080161343060888E-2</v>
      </c>
    </row>
    <row r="61" spans="1:5" x14ac:dyDescent="0.35">
      <c r="A61" s="3" t="s">
        <v>22</v>
      </c>
      <c r="B61" s="5">
        <v>3.6923076923076925</v>
      </c>
      <c r="C61" s="5">
        <v>3.814459085464478</v>
      </c>
      <c r="D61" s="5">
        <f t="shared" si="0"/>
        <v>0.12215139315678547</v>
      </c>
      <c r="E61" s="5">
        <f t="shared" si="1"/>
        <v>1.4920962850143576E-2</v>
      </c>
    </row>
    <row r="62" spans="1:5" x14ac:dyDescent="0.35">
      <c r="A62" s="3" t="s">
        <v>23</v>
      </c>
      <c r="B62" s="5">
        <v>3.6153846153846154</v>
      </c>
      <c r="C62" s="5">
        <v>3.6884529590606689</v>
      </c>
      <c r="D62" s="5">
        <f t="shared" si="0"/>
        <v>7.3068343676053527E-2</v>
      </c>
      <c r="E62" s="5">
        <f t="shared" si="1"/>
        <v>5.3389828475618713E-3</v>
      </c>
    </row>
    <row r="63" spans="1:5" x14ac:dyDescent="0.35">
      <c r="A63" s="3" t="s">
        <v>23</v>
      </c>
      <c r="B63" s="5">
        <v>4.0769230769230766</v>
      </c>
      <c r="C63" s="5">
        <v>4.3580374717712402</v>
      </c>
      <c r="D63" s="5">
        <f t="shared" si="0"/>
        <v>0.28111439484816358</v>
      </c>
      <c r="E63" s="5">
        <f t="shared" si="1"/>
        <v>7.9025302990849228E-2</v>
      </c>
    </row>
    <row r="64" spans="1:5" x14ac:dyDescent="0.35">
      <c r="A64" s="3" t="s">
        <v>23</v>
      </c>
      <c r="B64" s="5">
        <v>4.384615384615385</v>
      </c>
      <c r="C64" s="5">
        <v>4.6535153388977051</v>
      </c>
      <c r="D64" s="5">
        <f t="shared" si="0"/>
        <v>0.26889995428232005</v>
      </c>
      <c r="E64" s="5">
        <f t="shared" si="1"/>
        <v>7.2307185413033812E-2</v>
      </c>
    </row>
    <row r="65" spans="1:5" x14ac:dyDescent="0.35">
      <c r="A65" s="3" t="s">
        <v>24</v>
      </c>
      <c r="B65" s="5">
        <v>2.4615384615384617</v>
      </c>
      <c r="C65" s="5">
        <v>2.6438438892364502</v>
      </c>
      <c r="D65" s="5">
        <f t="shared" si="0"/>
        <v>0.18230542769798852</v>
      </c>
      <c r="E65" s="5">
        <f t="shared" si="1"/>
        <v>3.323526896814652E-2</v>
      </c>
    </row>
    <row r="66" spans="1:5" x14ac:dyDescent="0.35">
      <c r="A66" s="3" t="s">
        <v>24</v>
      </c>
      <c r="B66" s="5">
        <v>3.1538461538461537</v>
      </c>
      <c r="C66" s="5">
        <v>3.2628734111785889</v>
      </c>
      <c r="D66" s="5">
        <f t="shared" si="0"/>
        <v>0.10902725733243512</v>
      </c>
      <c r="E66" s="5">
        <f t="shared" si="1"/>
        <v>1.1886942841433028E-2</v>
      </c>
    </row>
    <row r="67" spans="1:5" x14ac:dyDescent="0.35">
      <c r="A67" s="3" t="s">
        <v>24</v>
      </c>
      <c r="B67" s="5">
        <v>4.0769230769230766</v>
      </c>
      <c r="C67" s="5">
        <v>4.1710114479064941</v>
      </c>
      <c r="D67" s="5">
        <f t="shared" ref="D67:D82" si="2">ABS(B67-C67)</f>
        <v>9.4088370983417491E-2</v>
      </c>
      <c r="E67" s="5">
        <f t="shared" ref="E67:E82" si="3">(B67-C67)^2</f>
        <v>8.8526215543131993E-3</v>
      </c>
    </row>
    <row r="68" spans="1:5" x14ac:dyDescent="0.35">
      <c r="A68" s="3" t="s">
        <v>25</v>
      </c>
      <c r="B68" s="5">
        <v>3.0769230769230771</v>
      </c>
      <c r="C68" s="5">
        <v>3.1104402542114258</v>
      </c>
      <c r="D68" s="5">
        <f t="shared" si="2"/>
        <v>3.3517177288348687E-2</v>
      </c>
      <c r="E68" s="5">
        <f t="shared" si="3"/>
        <v>1.1234011733785971E-3</v>
      </c>
    </row>
    <row r="69" spans="1:5" x14ac:dyDescent="0.35">
      <c r="A69" s="3" t="s">
        <v>25</v>
      </c>
      <c r="B69" s="5">
        <v>3.6923076923076925</v>
      </c>
      <c r="C69" s="5">
        <v>3.736653089523315</v>
      </c>
      <c r="D69" s="5">
        <f t="shared" si="2"/>
        <v>4.4345397215622473E-2</v>
      </c>
      <c r="E69" s="5">
        <f t="shared" si="3"/>
        <v>1.9665142542113372E-3</v>
      </c>
    </row>
    <row r="70" spans="1:5" x14ac:dyDescent="0.35">
      <c r="A70" s="3" t="s">
        <v>25</v>
      </c>
      <c r="B70" s="5">
        <v>4.1923076923076925</v>
      </c>
      <c r="C70" s="5">
        <v>4.3866548538208008</v>
      </c>
      <c r="D70" s="5">
        <f t="shared" si="2"/>
        <v>0.19434716151310827</v>
      </c>
      <c r="E70" s="5">
        <f t="shared" si="3"/>
        <v>3.7770819188202194E-2</v>
      </c>
    </row>
    <row r="71" spans="1:5" x14ac:dyDescent="0.35">
      <c r="A71" s="3" t="s">
        <v>26</v>
      </c>
      <c r="B71" s="5">
        <v>3.7307692307692308</v>
      </c>
      <c r="C71" s="5">
        <v>3.95844554901123</v>
      </c>
      <c r="D71" s="5">
        <f t="shared" si="2"/>
        <v>0.22767631824199919</v>
      </c>
      <c r="E71" s="5">
        <f t="shared" si="3"/>
        <v>5.183650588823209E-2</v>
      </c>
    </row>
    <row r="72" spans="1:5" x14ac:dyDescent="0.35">
      <c r="A72" s="3" t="s">
        <v>26</v>
      </c>
      <c r="B72" s="5">
        <v>4.2307692307692308</v>
      </c>
      <c r="C72" s="5">
        <v>4.492335319519043</v>
      </c>
      <c r="D72" s="5">
        <f t="shared" si="2"/>
        <v>0.26156608874981213</v>
      </c>
      <c r="E72" s="5">
        <f t="shared" si="3"/>
        <v>6.8416818783874594E-2</v>
      </c>
    </row>
    <row r="73" spans="1:5" x14ac:dyDescent="0.35">
      <c r="A73" s="3" t="s">
        <v>26</v>
      </c>
      <c r="B73" s="5">
        <v>4.5384615384615383</v>
      </c>
      <c r="C73" s="5">
        <v>4.6912837028503418</v>
      </c>
      <c r="D73" s="5">
        <f t="shared" si="2"/>
        <v>0.15282216438880347</v>
      </c>
      <c r="E73" s="5">
        <f t="shared" si="3"/>
        <v>2.3354613928478471E-2</v>
      </c>
    </row>
    <row r="74" spans="1:5" x14ac:dyDescent="0.35">
      <c r="A74" s="3" t="s">
        <v>27</v>
      </c>
      <c r="B74" s="5">
        <v>2.7307692307692308</v>
      </c>
      <c r="C74" s="5">
        <v>2.5859484672546391</v>
      </c>
      <c r="D74" s="5">
        <f t="shared" si="2"/>
        <v>0.14482076351459172</v>
      </c>
      <c r="E74" s="5">
        <f t="shared" si="3"/>
        <v>2.0973053544949299E-2</v>
      </c>
    </row>
    <row r="75" spans="1:5" x14ac:dyDescent="0.35">
      <c r="A75" s="3" t="s">
        <v>27</v>
      </c>
      <c r="B75" s="5">
        <v>3.4230769230769229</v>
      </c>
      <c r="C75" s="5">
        <v>3.3001084327697749</v>
      </c>
      <c r="D75" s="5">
        <f t="shared" si="2"/>
        <v>0.12296849030714796</v>
      </c>
      <c r="E75" s="5">
        <f t="shared" si="3"/>
        <v>1.5121249608419141E-2</v>
      </c>
    </row>
    <row r="76" spans="1:5" x14ac:dyDescent="0.35">
      <c r="A76" s="3" t="s">
        <v>27</v>
      </c>
      <c r="B76" s="5">
        <v>4.3076923076923075</v>
      </c>
      <c r="C76" s="5">
        <v>4.223780632019043</v>
      </c>
      <c r="D76" s="5">
        <f t="shared" si="2"/>
        <v>8.3911675673264519E-2</v>
      </c>
      <c r="E76" s="5">
        <f t="shared" si="3"/>
        <v>7.0411693142951324E-3</v>
      </c>
    </row>
    <row r="77" spans="1:5" x14ac:dyDescent="0.35">
      <c r="A77" s="3" t="s">
        <v>28</v>
      </c>
      <c r="B77" s="5">
        <v>3.4615384615384617</v>
      </c>
      <c r="C77" s="5">
        <v>2.8573341369628911</v>
      </c>
      <c r="D77" s="5">
        <f t="shared" si="2"/>
        <v>0.60420432457557061</v>
      </c>
      <c r="E77" s="5">
        <f t="shared" si="3"/>
        <v>0.36506286583582148</v>
      </c>
    </row>
    <row r="78" spans="1:5" x14ac:dyDescent="0.35">
      <c r="A78" s="3" t="s">
        <v>28</v>
      </c>
      <c r="B78" s="5">
        <v>4.1923076923076925</v>
      </c>
      <c r="C78" s="5">
        <v>4.1988711357116699</v>
      </c>
      <c r="D78" s="5">
        <f t="shared" si="2"/>
        <v>6.5634434039774092E-3</v>
      </c>
      <c r="E78" s="5">
        <f t="shared" si="3"/>
        <v>4.3078789317214559E-5</v>
      </c>
    </row>
    <row r="79" spans="1:5" x14ac:dyDescent="0.35">
      <c r="A79" s="3" t="s">
        <v>28</v>
      </c>
      <c r="B79" s="5">
        <v>4.5</v>
      </c>
      <c r="C79" s="5">
        <v>4.6735448837280273</v>
      </c>
      <c r="D79" s="5">
        <f t="shared" si="2"/>
        <v>0.17354488372802734</v>
      </c>
      <c r="E79" s="5">
        <f t="shared" si="3"/>
        <v>3.011782666817453E-2</v>
      </c>
    </row>
    <row r="80" spans="1:5" x14ac:dyDescent="0.35">
      <c r="A80" s="3" t="s">
        <v>29</v>
      </c>
      <c r="B80" s="5">
        <v>4.115384615384615</v>
      </c>
      <c r="C80" s="5">
        <v>4.0624179840087891</v>
      </c>
      <c r="D80" s="5">
        <f t="shared" si="2"/>
        <v>5.2966631375825912E-2</v>
      </c>
      <c r="E80" s="5">
        <f t="shared" si="3"/>
        <v>2.805464039302626E-3</v>
      </c>
    </row>
    <row r="81" spans="1:5" x14ac:dyDescent="0.35">
      <c r="A81" s="3" t="s">
        <v>29</v>
      </c>
      <c r="B81" s="5">
        <v>4.5769230769230766</v>
      </c>
      <c r="C81" s="5">
        <v>4.5274844169616699</v>
      </c>
      <c r="D81" s="5">
        <f t="shared" si="2"/>
        <v>4.9438659961406728E-2</v>
      </c>
      <c r="E81" s="5">
        <f t="shared" si="3"/>
        <v>2.4441810987796005E-3</v>
      </c>
    </row>
    <row r="82" spans="1:5" x14ac:dyDescent="0.35">
      <c r="A82" s="3" t="s">
        <v>29</v>
      </c>
      <c r="B82" s="5">
        <v>4.615384615384615</v>
      </c>
      <c r="C82" s="5">
        <v>4.7034859657287598</v>
      </c>
      <c r="D82" s="5">
        <f t="shared" si="2"/>
        <v>8.8101350344144791E-2</v>
      </c>
      <c r="E82" s="5">
        <f t="shared" si="3"/>
        <v>7.7618479324617412E-3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Net4U</dc:creator>
  <cp:lastModifiedBy>Lab Net4u</cp:lastModifiedBy>
  <dcterms:created xsi:type="dcterms:W3CDTF">2015-06-05T18:19:34Z</dcterms:created>
  <dcterms:modified xsi:type="dcterms:W3CDTF">2026-03-30T15:54:40Z</dcterms:modified>
</cp:coreProperties>
</file>