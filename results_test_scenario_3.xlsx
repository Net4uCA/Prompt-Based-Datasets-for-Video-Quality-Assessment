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et4U\Desktop\Nuove simulazioni\"/>
    </mc:Choice>
  </mc:AlternateContent>
  <xr:revisionPtr revIDLastSave="0" documentId="13_ncr:1_{48952C2E-6E71-427E-817F-B2B6484DD41A}" xr6:coauthVersionLast="47" xr6:coauthVersionMax="47" xr10:uidLastSave="{00000000-0000-0000-0000-000000000000}"/>
  <bookViews>
    <workbookView xWindow="-110" yWindow="-110" windowWidth="25820" windowHeight="15500" xr2:uid="{00000000-000D-0000-FFFF-FFFF00000000}"/>
  </bookViews>
  <sheets>
    <sheet name="Foglio1" sheetId="1" r:id="rId1"/>
  </sheets>
  <definedNames>
    <definedName name="_xlchart.v1.0" hidden="1">Foglio1!$D$1</definedName>
    <definedName name="_xlchart.v1.1" hidden="1">Foglio1!$D$2:$D$621</definedName>
    <definedName name="_xlchart.v1.2" hidden="1">Foglio1!$D$1</definedName>
    <definedName name="_xlchart.v1.3" hidden="1">Foglio1!$D$2:$D$621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a="1"/>
  <c r="M6" i="1" s="1"/>
  <c r="L6" i="1"/>
  <c r="J9" i="1"/>
  <c r="I9" i="1"/>
  <c r="J6" i="1"/>
  <c r="I6"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<sst xmlns="http://schemas.openxmlformats.org/spreadsheetml/2006/main" count="621" uniqueCount="621">
  <si>
    <t>ID sequence</t>
  </si>
  <si>
    <t>subjective MOS</t>
  </si>
  <si>
    <t>The video sequence shows a splashing fountain.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11430.92 Kbps. The video is displayed on a 12,4-inch tablet screen at a viewing distance of 18 inches.</t>
  </si>
  <si>
    <t>The video sequence shows a splashing fountain.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14674.74 Kbps. The video is displayed on a 6,1-inch mobile screen at a viewing distance of 13 inches.</t>
  </si>
  <si>
    <t>The video sequence shows a splashing fountain.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13168.28 Kbps. The video is displayed on a 12,4-inch tablet screen at a viewing distance of 18 inches.</t>
  </si>
  <si>
    <t>The video sequence shows a splashing fountain.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18962.31 Kbps. The video is displayed on a 55-inch TV screen at a viewing distance of 81 inches.</t>
  </si>
  <si>
    <t>The video sequence shows a splashing fountain.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29960.45 Kbps. The video is displayed on a 55-inch TV screen at a viewing distance of 81 inches.</t>
  </si>
  <si>
    <t>The video sequence shows a splashing fountain.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23360.01 Kbps. The video is displayed on a 55-inch TV screen at a viewing distance of 81 inches.</t>
  </si>
  <si>
    <t>The video sequence shows a splashing fountain.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39945.62 Kbps. The video is displayed on a 12,4-inch tablet screen at a viewing distance of 18 inches.</t>
  </si>
  <si>
    <t>The video sequence shows lamp and leaves in the wind.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5153.17 Kbps. The video is displayed on a 6,1-inch mobile screen at a viewing distance of 13 inches.</t>
  </si>
  <si>
    <t>The video sequence shows lamp and leaves in the wind.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6623.10 Kbps. The video is displayed on a 12,4-inch tablet screen at a viewing distance of 18 inches.</t>
  </si>
  <si>
    <t>The video sequence shows lamp and leaves in the wind.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9448.76 Kbps. The video is displayed on a 12,4-inch tablet screen at a viewing distance of 18 inches.</t>
  </si>
  <si>
    <t>The video sequence shows lamp and leaves in the wind.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6721.47 Kbps. The video is displayed on a 55-inch TV screen at a viewing distance of 81 inches.</t>
  </si>
  <si>
    <t>The video sequence shows lamp and leaves in the wind.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16000.03 Kbps. The video is displayed on a 12,4-inch tablet screen at a viewing distance of 18 inches.</t>
  </si>
  <si>
    <t>The video sequence shows lamp and leaves in the wind. It is encoded at a resolution of 540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16000.04 Kbps. The video is displayed on a 6,1-inch mobile screen at a viewing distance of 13 inches.</t>
  </si>
  <si>
    <t>The video sequence shows lamp and leaves in the wind.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40019.24 Kbps. The video is displayed on a 55-inch TV screen at a viewing distance of 81 inches.</t>
  </si>
  <si>
    <t>The video sequence shows a urban driving  in motion.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1237.73 Kbps. The video is displayed on a 55-inch TV screen at a viewing distance of 81 inches.</t>
  </si>
  <si>
    <t>The video sequence shows a urban driving  in motion.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2179.31 Kbps. The video is displayed on a 6,1-inch mobile screen at a viewing distance of 13 inches.</t>
  </si>
  <si>
    <t>The video sequence shows a urban driving  in motion.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2084.69 Kbps. The video is displayed on a 55-inch TV screen at a viewing distance of 81 inches.</t>
  </si>
  <si>
    <t>The video sequence shows a urban driving  in motion.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2084.71 Kbps. The video is displayed on a 6,1-inch mobile screen at a viewing distance of 13 inches.</t>
  </si>
  <si>
    <t>The video sequence shows a urban driving  in motion.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3627.36 Kbps. The video is displayed on a 12,4-inch tablet screen at a viewing distance of 18 inches.</t>
  </si>
  <si>
    <t>The video sequence shows a urban driving  in motion. It is encoded at a resolution of 720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8487.96 Kbps. The video is displayed on a 12,4-inch tablet screen at a viewing distance of 18 inches.</t>
  </si>
  <si>
    <t>The video sequence shows a urban driving  in motion. It is encoded at a resolution of 1080 points and played back at a frame rate of 60 frames per second. The compression level is described using the CAE (Compression Artifacts Evaluation)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13326.10 Kbps. The video is displayed on a 6,1-inch mobile screen at a viewing distance of 13 inches.</t>
  </si>
  <si>
    <t>The video sequence shows one runner.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</si>
  <si>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</si>
  <si>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</si>
  <si>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</si>
  <si>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</si>
  <si>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one runner.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26.The video is displayed on a 27-inch screen at a viewing distance of 30 inches.</t>
  </si>
  <si>
    <t>The video sequence shows one runner.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30.The video is displayed on a 27-inch screen at a viewing distance of 30 inches.</t>
  </si>
  <si>
    <t>The video sequence shows one runner.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30.The video is displayed on a 27-inch screen at a viewing distance of 30 inches.</t>
  </si>
  <si>
    <t>The video sequence shows one runner.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</si>
  <si>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one runner.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</si>
  <si>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one runner.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</si>
  <si>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one runner.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</si>
  <si>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one runner.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</si>
  <si>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one runner.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</si>
  <si>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one runner.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</si>
  <si>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one runner.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</si>
  <si>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one runner.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</si>
  <si>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one runner.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</si>
  <si>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one runner.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</si>
  <si>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</si>
  <si>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</si>
  <si>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</si>
  <si>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</si>
  <si>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</si>
  <si>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three runners.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</si>
  <si>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three runners.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</si>
  <si>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three runners.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</si>
  <si>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three runners.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42.The video is displayed on a 27-inch screen at a viewing distance of 30 inches.</t>
  </si>
  <si>
    <t>The video sequence shows three runners.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</si>
  <si>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three runners.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</si>
  <si>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three runners.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</si>
  <si>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three runners.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</si>
  <si>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three runners.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58.The video is displayed on a 27-inch screen at a viewing distance of 30 inches.</t>
  </si>
  <si>
    <t>The video sequence shows three runners.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58.The video is displayed on a 27-inch screen at a viewing distance of 30 inches.</t>
  </si>
  <si>
    <t>The video sequence shows three runners.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</si>
  <si>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</si>
  <si>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</si>
  <si>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</si>
  <si>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</si>
  <si>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</si>
  <si>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</si>
  <si>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</si>
  <si>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26.The video is displayed on a 27-inch screen at a viewing distance of 30 inches.</t>
  </si>
  <si>
    <t>The video sequence shows flips.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</si>
  <si>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flips.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35.The video is displayed on a 27-inch screen at a viewing distance of 30 inches.</t>
  </si>
  <si>
    <t>The video sequence shows flips.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</si>
  <si>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flips.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</si>
  <si>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flips.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45.The video is displayed on a 27-inch screen at a viewing distance of 30 inches.</t>
  </si>
  <si>
    <t>The video sequence shows flips.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</si>
  <si>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flips.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</si>
  <si>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flips.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</si>
  <si>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flips.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</si>
  <si>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flips.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</si>
  <si>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flips.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58.The video is displayed on a 27-inch screen at a viewing distance of 30 inches.</t>
  </si>
  <si>
    <t>The video sequence shows flips.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</si>
  <si>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</si>
  <si>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</si>
  <si>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</si>
  <si>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</si>
  <si>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</si>
  <si>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</si>
  <si>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</si>
  <si>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26.The video is displayed on a 27-inch screen at a viewing distance of 30 inches.</t>
  </si>
  <si>
    <t>The video sequence shows hurdles.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</si>
  <si>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hurdles.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34.The video is displayed on a 27-inch screen at a viewing distance of 30 inches.</t>
  </si>
  <si>
    <t>The video sequence shows hurdles.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</si>
  <si>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hurdles.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42.The video is displayed on a 27-inch screen at a viewing distance of 30 inches.</t>
  </si>
  <si>
    <t>The video sequence shows hurdles.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</si>
  <si>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hurdles.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</si>
  <si>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hurdles.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</si>
  <si>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hurdles.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</si>
  <si>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hurdles.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</si>
  <si>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hurdles.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</si>
  <si>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hurdles.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58.The video is displayed on a 27-inch screen at a viewing distance of 30 inches.</t>
  </si>
  <si>
    <t>The video sequence shows hurdles.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</si>
  <si>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</si>
  <si>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</si>
  <si>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</si>
  <si>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</si>
  <si>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</si>
  <si>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</si>
  <si>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</si>
  <si>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26.The video is displayed on a 27-inch screen at a viewing distance of 30 inches.</t>
  </si>
  <si>
    <t>The video sequence shows long jump.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</si>
  <si>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long jump.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</si>
  <si>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long jump.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</si>
  <si>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long jump.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</si>
  <si>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long jump.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42.The video is displayed on a 27-inch screen at a viewing distance of 30 inches.</t>
  </si>
  <si>
    <t>The video sequence shows long jump.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45.The video is displayed on a 27-inch screen at a viewing distance of 30 inches.</t>
  </si>
  <si>
    <t>The video sequence shows long jump.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</si>
  <si>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long jump.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</si>
  <si>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long jump.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</si>
  <si>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long jump.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</si>
  <si>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long jump.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</si>
  <si>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long jump.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</si>
  <si>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</si>
  <si>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</si>
  <si>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</si>
  <si>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</si>
  <si>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</si>
  <si>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</si>
  <si>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</si>
  <si>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8.The video is displayed on a 27-inch screen at a viewing distance of 30 inches.</t>
  </si>
  <si>
    <t>The video sequence shows bobblehead.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8.The video is displayed on a 27-inch screen at a viewing distance of 30 inches.</t>
  </si>
  <si>
    <t>The video sequence shows bobblehead.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</si>
  <si>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bobblehead.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</si>
  <si>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bobblehead.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</si>
  <si>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bobblehead.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</si>
  <si>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bobblehead.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</si>
  <si>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bobblehead.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</si>
  <si>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bobblehead.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</si>
  <si>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bobblehead.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</si>
  <si>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bobblehead.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</si>
  <si>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bobblehead.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</si>
  <si>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</si>
  <si>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</si>
  <si>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</si>
  <si>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</si>
  <si>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</si>
  <si>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</si>
  <si>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</si>
  <si>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</si>
  <si>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books.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</si>
  <si>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books.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</si>
  <si>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books.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</si>
  <si>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books.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</si>
  <si>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books.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</si>
  <si>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books.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</si>
  <si>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books.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</si>
  <si>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books.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</si>
  <si>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books.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</si>
  <si>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books.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</si>
  <si>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books.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</si>
  <si>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books.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</si>
  <si>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</si>
  <si>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</si>
  <si>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</si>
  <si>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</si>
  <si>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</si>
  <si>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</si>
  <si>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</si>
  <si>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</si>
  <si>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bouncy ball.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</si>
  <si>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bouncy ball.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</si>
  <si>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bouncy ball.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</si>
  <si>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bouncy ball.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</si>
  <si>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bouncy ball.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</si>
  <si>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bouncy ball.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</si>
  <si>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bouncy ball.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</si>
  <si>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bouncy ball.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</si>
  <si>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bouncy ball.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</si>
  <si>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bouncy ball.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</si>
  <si>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bouncy ball.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</si>
  <si>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</si>
  <si>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</si>
  <si>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</si>
  <si>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</si>
  <si>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</si>
  <si>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</si>
  <si>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</si>
  <si>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8.The video is displayed on a 27-inch screen at a viewing distance of 30 inches.</t>
  </si>
  <si>
    <t>The video sequence shows catch track.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8.The video is displayed on a 27-inch screen at a viewing distance of 30 inches.</t>
  </si>
  <si>
    <t>The video sequence shows catch track.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</si>
  <si>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catch track.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</si>
  <si>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catch track.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</si>
  <si>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catch track.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</si>
  <si>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catch track.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</si>
  <si>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catch track.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</si>
  <si>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catch track.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</si>
  <si>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catch track.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</si>
  <si>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catch track.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</si>
  <si>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catch track.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</si>
  <si>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catch track.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</si>
  <si>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</si>
  <si>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</si>
  <si>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</si>
  <si>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</si>
  <si>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</si>
  <si>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</si>
  <si>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</si>
  <si>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</si>
  <si>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cyclist.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</si>
  <si>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cyclist.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</si>
  <si>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cyclist.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</si>
  <si>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cyclist.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</si>
  <si>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cyclist.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</si>
  <si>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cyclist.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</si>
  <si>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cyclist.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</si>
  <si>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cyclist.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</si>
  <si>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cyclist.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</si>
  <si>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cyclist.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</si>
  <si>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cyclist.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</si>
  <si>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</si>
  <si>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</si>
  <si>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</si>
  <si>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</si>
  <si>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</si>
  <si>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</si>
  <si>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</si>
  <si>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</si>
  <si>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hamster.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</si>
  <si>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hamster.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</si>
  <si>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hamster.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</si>
  <si>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hamster.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</si>
  <si>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hamster.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</si>
  <si>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hamster.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</si>
  <si>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hamster.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</si>
  <si>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hamster.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</si>
  <si>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hamster.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</si>
  <si>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hamster.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</si>
  <si>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hamster.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</si>
  <si>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hamster.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</si>
  <si>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</si>
  <si>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</si>
  <si>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</si>
  <si>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</si>
  <si>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</si>
  <si>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</si>
  <si>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</si>
  <si>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</si>
  <si>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lamppost.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</si>
  <si>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lamppost.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</si>
  <si>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lamppost.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</si>
  <si>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lamppost.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</si>
  <si>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lamppost.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</si>
  <si>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lamppost.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</si>
  <si>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lamppost.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</si>
  <si>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lamppost.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</si>
  <si>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lamppost.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</si>
  <si>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lamppost.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60.The video is displayed on a 27-inch screen at a viewing distance of 30 inches.</t>
  </si>
  <si>
    <t>The video sequence shows lamppost.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</si>
  <si>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</si>
  <si>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</si>
  <si>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</si>
  <si>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</si>
  <si>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</si>
  <si>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</si>
  <si>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</si>
  <si>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</si>
  <si>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wall and leaves.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</si>
  <si>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wall and leaves.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</si>
  <si>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wall and leaves.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</si>
  <si>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wall and leaves.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</si>
  <si>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wall and leaves.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</si>
  <si>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wall and leaves.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</si>
  <si>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wall and leaves.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</si>
  <si>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wall and leaves.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</si>
  <si>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wall and leaves.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</si>
  <si>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wall and leaves.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</si>
  <si>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wall and leaves.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</si>
  <si>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</si>
  <si>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</si>
  <si>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</si>
  <si>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</si>
  <si>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</si>
  <si>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</si>
  <si>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</si>
  <si>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</si>
  <si>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library.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</si>
  <si>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library.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</si>
  <si>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library.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</si>
  <si>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library.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</si>
  <si>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library.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</si>
  <si>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library.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</si>
  <si>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library.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</si>
  <si>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library.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</si>
  <si>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library.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</si>
  <si>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library.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</si>
  <si>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library.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</si>
  <si>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</si>
  <si>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</si>
  <si>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</si>
  <si>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</si>
  <si>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</si>
  <si>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</si>
  <si>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</si>
  <si>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</si>
  <si>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pour.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</si>
  <si>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pour.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</si>
  <si>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pour.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</si>
  <si>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pour.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</si>
  <si>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pour.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</si>
  <si>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pour.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</si>
  <si>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pour.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</si>
  <si>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pour.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</si>
  <si>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pour.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</si>
  <si>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pour.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</si>
  <si>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pour.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</si>
  <si>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</si>
  <si>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</si>
  <si>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</si>
  <si>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</si>
  <si>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</si>
  <si>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</si>
  <si>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</si>
  <si>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</si>
  <si>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water splashing.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</si>
  <si>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water splashing.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</si>
  <si>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water splashing.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</si>
  <si>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water splashing.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</si>
  <si>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water splashing.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</si>
  <si>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water splashing.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</si>
  <si>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water splashing.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</si>
  <si>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water splashing.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</si>
  <si>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water splashing.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</si>
  <si>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water splashing.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60.The video is displayed on a 27-inch screen at a viewing distance of 30 inches.</t>
  </si>
  <si>
    <t>The video sequence shows water splashing.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</si>
  <si>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</si>
  <si>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</si>
  <si>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</si>
  <si>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beauty contents.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</si>
  <si>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beauty contents.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</si>
  <si>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beauty contents.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</si>
  <si>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beauty contents.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</si>
  <si>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beauty contents.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</si>
  <si>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beauty contents.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</si>
  <si>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beauty contents.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</si>
  <si>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beauty contents.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</si>
  <si>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beauty contents.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</si>
  <si>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beauty contents.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</si>
  <si>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beauty contents.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</si>
  <si>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beauty contents.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</si>
  <si>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beauty contents.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</si>
  <si>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beauty contents.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</si>
  <si>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beauty contents.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</si>
  <si>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beauty contents.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</si>
  <si>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beauty contents.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</si>
  <si>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beauty contents.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</si>
  <si>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beauty contents.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</si>
  <si>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beauty contents.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</si>
  <si>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two dancers.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</si>
  <si>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two dancers.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</si>
  <si>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two dancers.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</si>
  <si>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two dancers.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</si>
  <si>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two dancers.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</si>
  <si>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two dancers.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</si>
  <si>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two dancers.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</si>
  <si>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two dancers.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</si>
  <si>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two dancers.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</si>
  <si>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two dancers.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</si>
  <si>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two dancers.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</si>
  <si>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two dancers.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</si>
  <si>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two dancers.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</si>
  <si>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two dancers.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</si>
  <si>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two dancers.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</si>
  <si>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two dancers.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</si>
  <si>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dinner scene.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</si>
  <si>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</si>
  <si>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dinner scene.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</si>
  <si>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</si>
  <si>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dinner scene.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</si>
  <si>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dinner scene.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</si>
  <si>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</si>
  <si>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dinner scene.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</si>
  <si>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dinner scene.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</si>
  <si>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a dinner scene.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</si>
  <si>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dinner scene.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</si>
  <si>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dinner scene.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</si>
  <si>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</si>
  <si>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dinner scene.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</si>
  <si>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dinner scene.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</si>
  <si>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dinner scene.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</si>
  <si>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discussion.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</si>
  <si>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discussion.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</si>
  <si>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discussion.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</si>
  <si>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discussion.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</si>
  <si>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discussion.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</si>
  <si>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discussion.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</si>
  <si>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discussion.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</si>
  <si>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discussion.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</si>
  <si>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discussion.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</si>
  <si>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discussion.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</si>
  <si>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discussion.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</si>
  <si>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a discussion.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</si>
  <si>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discussion.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</si>
  <si>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discussion.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</si>
  <si>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discussion.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</si>
  <si>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discussion.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</si>
  <si>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discussion.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</si>
  <si>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discussion.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</si>
  <si>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discussion.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</si>
  <si>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discussion.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</si>
  <si>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American football.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</si>
  <si>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American football.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</si>
  <si>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American football.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</si>
  <si>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American football.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</si>
  <si>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American football.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</si>
  <si>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American football.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</si>
  <si>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American football.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</si>
  <si>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American football.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</si>
  <si>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American football.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</si>
  <si>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American football.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</si>
  <si>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American football.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</si>
  <si>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American football.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</si>
  <si>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American football.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</si>
  <si>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American football.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</si>
  <si>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American football.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</si>
  <si>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American football.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</si>
  <si>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American football.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</si>
  <si>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American football.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</si>
  <si>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American football.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</si>
  <si>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American football.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</si>
  <si>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American football.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</si>
  <si>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bees and flowers.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</si>
  <si>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bees and flowers.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</si>
  <si>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bees and flowers.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</si>
  <si>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bees and flowers.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</si>
  <si>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bees and flowers.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</si>
  <si>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bees and flowers.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</si>
  <si>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bees and flowers.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</si>
  <si>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bees and flowers.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</si>
  <si>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bees and flowers.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</si>
  <si>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bees and flowers.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</si>
  <si>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bees and flowers.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</si>
  <si>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bees and flowers.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</si>
  <si>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bees and flowers.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</si>
  <si>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bees and flowers.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</si>
  <si>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bees and flowers.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</si>
  <si>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bees and flowers.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</si>
  <si>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bees and flowers.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</si>
  <si>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bees and flowers.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</si>
  <si>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jockey.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</si>
  <si>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jockey.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</si>
  <si>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jockey.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</si>
  <si>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jockey.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</si>
  <si>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jockey.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</si>
  <si>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jockey.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</si>
  <si>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jockey.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</si>
  <si>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jockey.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</si>
  <si>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jockey.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</si>
  <si>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jockey.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</si>
  <si>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jockey.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</si>
  <si>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jockey.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</si>
  <si>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jockey.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</si>
  <si>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jockey.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</si>
  <si>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jockey.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</si>
  <si>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jockey.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</si>
  <si>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jockey.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</si>
  <si>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jockey.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</si>
  <si>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monkeys in the snow.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</si>
  <si>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monkeys in the snow.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</si>
  <si>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monkeys in the snow.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</si>
  <si>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monkeys in the snow.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</si>
  <si>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monkeys in the snow.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</si>
  <si>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monkeys in the snow.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</si>
  <si>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monkeys in the snow.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</si>
  <si>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monkeys in the snow.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</si>
  <si>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monkeys in the snow.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</si>
  <si>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monkeys in the snow.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</si>
  <si>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monkeys in the snow.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</si>
  <si>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monkeys in the snow.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</si>
  <si>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monkeys in the snow.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</si>
  <si>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monkeys in the snow.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</si>
  <si>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monkeys in the snow.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</si>
  <si>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monkeys in the snow.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</si>
  <si>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monkeys in the snow.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</si>
  <si>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monkeys in the snow.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</si>
  <si>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monkeys in the snow.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</si>
  <si>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narrator.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</si>
  <si>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narrator.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</si>
  <si>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narrator.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</si>
  <si>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narrator.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</si>
  <si>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narrator.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</si>
  <si>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narrator.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</si>
  <si>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narrator.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</si>
  <si>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narrator.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</si>
  <si>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narrator.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</si>
  <si>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narrator.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</si>
  <si>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narrator.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</si>
  <si>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narrator.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</si>
  <si>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narrator.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</si>
  <si>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a narrator.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</si>
  <si>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narrator.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</si>
  <si>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narrator.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</si>
  <si>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narrator.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</si>
  <si>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narrator.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</si>
  <si>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narrator.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</si>
  <si>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narrator.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</si>
  <si>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narrator.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</si>
  <si>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the start of a horse race.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</si>
  <si>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the start of a horse race.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</si>
  <si>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the start of a horse race.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</si>
  <si>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the start of a horse race.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</si>
  <si>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the start of a horse race.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</si>
  <si>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the start of a horse race.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</si>
  <si>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the start of a horse race.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</si>
  <si>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the start of a horse race.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</si>
  <si>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the start of a horse race.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</si>
  <si>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the start of a horse race.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</si>
  <si>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the start of a horse race.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</si>
  <si>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the start of a horse race.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</si>
  <si>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the start of a horse race.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</si>
  <si>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the start of a horse race.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</si>
  <si>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the start of a horse race.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</si>
  <si>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the start of a horse race.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</si>
  <si>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the start of a horse race.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</si>
  <si>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the start of a horse race.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</si>
  <si>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the start of a horse race.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</si>
  <si>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ritual dance.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</si>
  <si>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ritual dance.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</si>
  <si>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ritual dance.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</si>
  <si>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ritual dance.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</si>
  <si>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ritual dance.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</si>
  <si>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ritual dance.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</si>
  <si>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ritual dance.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</si>
  <si>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ritual dance.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</si>
  <si>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ritual dance.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</si>
  <si>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ritual dance.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</si>
  <si>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ritual dance.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</si>
  <si>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ritual dance.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</si>
  <si>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ritual dance.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</si>
  <si>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ritual dance.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</si>
  <si>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ritual dance.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</si>
  <si>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ritual dance.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</si>
  <si>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ritual dance.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</si>
  <si>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man walking on a rocky beach.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</si>
  <si>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man walking on a rocky beach.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</si>
  <si>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man walking on a rocky beach.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</si>
  <si>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man walking on a rocky beach.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</si>
  <si>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man walking on a rocky beach.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</si>
  <si>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man walking on a rocky beach.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</si>
  <si>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man walking on a rocky beach.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</si>
  <si>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man walking on a rocky beach.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</si>
  <si>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man walking on a rocky beach.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</si>
  <si>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man walking on a rocky beach.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</si>
  <si>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man walking on a rocky beach.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</si>
  <si>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man walking on a rocky beach.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</si>
  <si>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man walking on a rocky beach.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</si>
  <si>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man walking on a rocky beach.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</si>
  <si>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man walking on a rocky beach.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</si>
  <si>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man walking on a rocky beach.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</si>
  <si>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man walking on a rocky beach.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</si>
  <si>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man walking on a rocky beach.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</si>
  <si>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man walking on a rocky beach.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</si>
  <si>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man walking on a rocky beach.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</si>
  <si>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man walking on a rocky beach.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</si>
  <si>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</si>
  <si>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splashing fountain.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</si>
  <si>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</si>
  <si>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splashing fountain.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</si>
  <si>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</si>
  <si>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splashing fountain.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</si>
  <si>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splashing fountain.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</si>
  <si>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splashing fountain.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</si>
  <si>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splashing fountain.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</si>
  <si>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splashing fountain.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</si>
  <si>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splashing fountain.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</si>
  <si>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splashing fountain.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</si>
  <si>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splashing fountain.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</si>
  <si>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</si>
  <si>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splashing fountain.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</si>
  <si>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splashing fountain.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</si>
  <si>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splashing fountain.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</si>
  <si>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</si>
  <si>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splashing fountain.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</si>
  <si>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tunnel.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</si>
  <si>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tunnel.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</si>
  <si>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tunnel.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</si>
  <si>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tunnel.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</si>
  <si>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tunnel.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</si>
  <si>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tunnel.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</si>
  <si>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tunnel.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</si>
  <si>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tunnel.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</si>
  <si>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tunnel.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</si>
  <si>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tunnel.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</si>
  <si>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tunnel.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</si>
  <si>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tunnel.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</si>
  <si>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tunnel.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</si>
  <si>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tunnel.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</si>
  <si>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tunnel.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</si>
  <si>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tunnel.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</si>
  <si>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tunnel.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</si>
  <si>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tunnel.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</si>
  <si>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yacht ride.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</si>
  <si>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yacht ride.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</si>
  <si>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yacht ride.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</si>
  <si>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yacht ride.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</si>
  <si>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yacht ride.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</si>
  <si>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yacht ride.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</si>
  <si>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yacht ride.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</si>
  <si>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yacht ride.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</si>
  <si>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yacht ride.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</si>
  <si>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yacht ride.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</si>
  <si>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yacht ride.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</si>
  <si>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yacht ride.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</si>
  <si>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yacht ride.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</si>
  <si>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yacht ride.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</si>
  <si>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yacht ride.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</si>
  <si>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yacht ride.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</si>
  <si>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predicted MOS</t>
  </si>
  <si>
    <t>absolute error</t>
  </si>
  <si>
    <t>squared error</t>
  </si>
  <si>
    <t>MIN err</t>
  </si>
  <si>
    <t>MAX err</t>
  </si>
  <si>
    <t>PLCC</t>
  </si>
  <si>
    <t>SRCC</t>
  </si>
  <si>
    <t>MAE</t>
  </si>
  <si>
    <t>RMSE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</si>
</sst>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2" fontId="0" fillId="0" borderId="0" xfId="0" applyNumberFormat="1" applyAlignment="1">
      <alignment horizontal="center"/>
    </xf>
    <xf numFmtId="0" fontId="1" fillId="0" borderId="0" xfId="0" applyFont="1"/>
    <xf numFmtId="2" fontId="1" fillId="0" borderId="0" xfId="0" applyNumberFormat="1" applyFont="1" applyAlignment="1">
      <alignment horizontal="center"/>
    </xf>
    <xf numFmtId="0" fontId="1" fillId="0" borderId="1" xfId="0" applyFont="1" applyBorder="1"/>
    <xf numFmtId="2" fontId="0" fillId="0" borderId="1" xfId="0" applyNumberFormat="1" applyBorder="1"/>
    <xf numFmtId="0" fontId="0" fillId="0" borderId="1" xfId="0"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tx>
            <c:strRef>
              <c:f>Foglio1!$C$1</c:f>
              <c:strCache>
                <c:ptCount val="1"/>
                <c:pt idx="0">
                  <c:v>predicted MOS</c:v>
                </c:pt>
              </c:strCache>
            </c:strRef>
          </c:tx>
          <c:spPr>
            <a:ln w="19050" cap="rnd">
              <a:noFill/>
              <a:round/>
            </a:ln>
            <a:effectLst/>
          </c:spPr>
          <c:marker>
            <c:symbol val="circle"/>
            <c:size val="5"/>
            <c:spPr>
              <a:solidFill>
                <a:srgbClr val="C00000"/>
              </a:solidFill>
              <a:ln w="9525">
                <a:solidFill>
                  <a:schemeClr val="tx1"/>
                </a:solidFill>
              </a:ln>
              <a:effectLst/>
            </c:spPr>
          </c:marker>
          <c:xVal>
            <c:numRef>
              <c:f>Foglio1!$B$2:$B$621</c:f>
              <c:numCache>
                <c:formatCode>0.00</c:formatCode>
                <c:ptCount val="620"/>
                <c:pt idx="0">
                  <c:v>2.6153846153846154</c:v>
                </c:pt>
                <c:pt idx="1">
                  <c:v>3.8076923076923075</c:v>
                </c:pt>
                <c:pt idx="2">
                  <c:v>3.2692307692307692</c:v>
                </c:pt>
                <c:pt idx="3">
                  <c:v>2.6923076923076925</c:v>
                </c:pt>
                <c:pt idx="4">
                  <c:v>3.5</c:v>
                </c:pt>
                <c:pt idx="5">
                  <c:v>3.1538461538461537</c:v>
                </c:pt>
                <c:pt idx="6">
                  <c:v>4.1923076923076925</c:v>
                </c:pt>
                <c:pt idx="7">
                  <c:v>3.4615384615384617</c:v>
                </c:pt>
                <c:pt idx="8">
                  <c:v>3.1923076923076925</c:v>
                </c:pt>
                <c:pt idx="9">
                  <c:v>3.6923076923076925</c:v>
                </c:pt>
                <c:pt idx="10">
                  <c:v>1.8076923076923077</c:v>
                </c:pt>
                <c:pt idx="11">
                  <c:v>3.5</c:v>
                </c:pt>
                <c:pt idx="12">
                  <c:v>4.2307692307692308</c:v>
                </c:pt>
                <c:pt idx="13">
                  <c:v>3.9230769230769229</c:v>
                </c:pt>
                <c:pt idx="14">
                  <c:v>2.3461538461538463</c:v>
                </c:pt>
                <c:pt idx="15">
                  <c:v>4.384615384615385</c:v>
                </c:pt>
                <c:pt idx="16">
                  <c:v>3.0769230769230771</c:v>
                </c:pt>
                <c:pt idx="17">
                  <c:v>4.1923076923076925</c:v>
                </c:pt>
                <c:pt idx="18">
                  <c:v>4.2307692307692308</c:v>
                </c:pt>
                <c:pt idx="19">
                  <c:v>4.1923076923076925</c:v>
                </c:pt>
                <c:pt idx="20">
                  <c:v>4.615384615384615</c:v>
                </c:pt>
                <c:pt idx="21">
                  <c:v>2.33</c:v>
                </c:pt>
                <c:pt idx="22">
                  <c:v>2.57</c:v>
                </c:pt>
                <c:pt idx="23">
                  <c:v>3.81</c:v>
                </c:pt>
                <c:pt idx="24">
                  <c:v>4.46</c:v>
                </c:pt>
                <c:pt idx="25">
                  <c:v>2.7</c:v>
                </c:pt>
                <c:pt idx="26">
                  <c:v>3.83</c:v>
                </c:pt>
                <c:pt idx="27">
                  <c:v>3.94</c:v>
                </c:pt>
                <c:pt idx="28">
                  <c:v>4.09</c:v>
                </c:pt>
                <c:pt idx="29">
                  <c:v>2.0699999999999998</c:v>
                </c:pt>
                <c:pt idx="30">
                  <c:v>3.82</c:v>
                </c:pt>
                <c:pt idx="31">
                  <c:v>2.39</c:v>
                </c:pt>
                <c:pt idx="32">
                  <c:v>4.01</c:v>
                </c:pt>
                <c:pt idx="33">
                  <c:v>4.24</c:v>
                </c:pt>
                <c:pt idx="34">
                  <c:v>3.96</c:v>
                </c:pt>
                <c:pt idx="35">
                  <c:v>3.9</c:v>
                </c:pt>
                <c:pt idx="36">
                  <c:v>1.37</c:v>
                </c:pt>
                <c:pt idx="37">
                  <c:v>1.59</c:v>
                </c:pt>
                <c:pt idx="38">
                  <c:v>2.2200000000000002</c:v>
                </c:pt>
                <c:pt idx="39">
                  <c:v>2.99</c:v>
                </c:pt>
                <c:pt idx="40">
                  <c:v>2.8</c:v>
                </c:pt>
                <c:pt idx="41">
                  <c:v>3.76</c:v>
                </c:pt>
                <c:pt idx="42">
                  <c:v>4.13</c:v>
                </c:pt>
                <c:pt idx="43">
                  <c:v>4.49</c:v>
                </c:pt>
                <c:pt idx="44">
                  <c:v>2.17</c:v>
                </c:pt>
                <c:pt idx="45">
                  <c:v>3.88</c:v>
                </c:pt>
                <c:pt idx="46">
                  <c:v>1.81</c:v>
                </c:pt>
                <c:pt idx="47">
                  <c:v>4.1100000000000003</c:v>
                </c:pt>
                <c:pt idx="48">
                  <c:v>2.69</c:v>
                </c:pt>
                <c:pt idx="49">
                  <c:v>2.68</c:v>
                </c:pt>
                <c:pt idx="50">
                  <c:v>3.47</c:v>
                </c:pt>
                <c:pt idx="51">
                  <c:v>3.73</c:v>
                </c:pt>
                <c:pt idx="52">
                  <c:v>4.1500000000000004</c:v>
                </c:pt>
                <c:pt idx="53">
                  <c:v>3.27</c:v>
                </c:pt>
                <c:pt idx="54">
                  <c:v>3.69</c:v>
                </c:pt>
                <c:pt idx="55">
                  <c:v>1.3</c:v>
                </c:pt>
                <c:pt idx="56">
                  <c:v>1.96</c:v>
                </c:pt>
                <c:pt idx="57">
                  <c:v>2.1800000000000002</c:v>
                </c:pt>
                <c:pt idx="58">
                  <c:v>2.37</c:v>
                </c:pt>
                <c:pt idx="59">
                  <c:v>2.23</c:v>
                </c:pt>
                <c:pt idx="60">
                  <c:v>4.3600000000000003</c:v>
                </c:pt>
                <c:pt idx="61">
                  <c:v>4.3</c:v>
                </c:pt>
                <c:pt idx="62">
                  <c:v>4.43</c:v>
                </c:pt>
                <c:pt idx="63">
                  <c:v>3.11</c:v>
                </c:pt>
                <c:pt idx="64">
                  <c:v>4.33</c:v>
                </c:pt>
                <c:pt idx="65">
                  <c:v>4.43</c:v>
                </c:pt>
                <c:pt idx="66">
                  <c:v>4.58</c:v>
                </c:pt>
                <c:pt idx="67">
                  <c:v>2.2200000000000002</c:v>
                </c:pt>
                <c:pt idx="68">
                  <c:v>3.35</c:v>
                </c:pt>
                <c:pt idx="69">
                  <c:v>2.74</c:v>
                </c:pt>
                <c:pt idx="70">
                  <c:v>4.34</c:v>
                </c:pt>
                <c:pt idx="71">
                  <c:v>4.1100000000000003</c:v>
                </c:pt>
                <c:pt idx="72">
                  <c:v>4.57</c:v>
                </c:pt>
                <c:pt idx="73">
                  <c:v>4.32</c:v>
                </c:pt>
                <c:pt idx="74">
                  <c:v>4.4000000000000004</c:v>
                </c:pt>
                <c:pt idx="75">
                  <c:v>1.74</c:v>
                </c:pt>
                <c:pt idx="76">
                  <c:v>2.3199999999999998</c:v>
                </c:pt>
                <c:pt idx="77">
                  <c:v>2.93</c:v>
                </c:pt>
                <c:pt idx="78">
                  <c:v>3.55</c:v>
                </c:pt>
                <c:pt idx="79">
                  <c:v>3.38</c:v>
                </c:pt>
                <c:pt idx="80">
                  <c:v>4.33</c:v>
                </c:pt>
                <c:pt idx="81">
                  <c:v>4.41</c:v>
                </c:pt>
                <c:pt idx="82">
                  <c:v>4.5</c:v>
                </c:pt>
                <c:pt idx="83">
                  <c:v>2.4700000000000002</c:v>
                </c:pt>
                <c:pt idx="84">
                  <c:v>3.12</c:v>
                </c:pt>
                <c:pt idx="85">
                  <c:v>4.3</c:v>
                </c:pt>
                <c:pt idx="86">
                  <c:v>4.29</c:v>
                </c:pt>
                <c:pt idx="87">
                  <c:v>2.59</c:v>
                </c:pt>
                <c:pt idx="88">
                  <c:v>2.42</c:v>
                </c:pt>
                <c:pt idx="89">
                  <c:v>3.31</c:v>
                </c:pt>
                <c:pt idx="90">
                  <c:v>4.07</c:v>
                </c:pt>
                <c:pt idx="91">
                  <c:v>4.1500000000000004</c:v>
                </c:pt>
                <c:pt idx="92">
                  <c:v>4.22</c:v>
                </c:pt>
                <c:pt idx="93">
                  <c:v>3.67</c:v>
                </c:pt>
                <c:pt idx="94">
                  <c:v>3.91</c:v>
                </c:pt>
                <c:pt idx="95">
                  <c:v>1.39</c:v>
                </c:pt>
                <c:pt idx="96">
                  <c:v>1.78</c:v>
                </c:pt>
                <c:pt idx="97">
                  <c:v>2.19</c:v>
                </c:pt>
                <c:pt idx="98">
                  <c:v>2.48</c:v>
                </c:pt>
                <c:pt idx="99">
                  <c:v>2.4700000000000002</c:v>
                </c:pt>
                <c:pt idx="100">
                  <c:v>4.21</c:v>
                </c:pt>
                <c:pt idx="101">
                  <c:v>4.25</c:v>
                </c:pt>
                <c:pt idx="102">
                  <c:v>4.51</c:v>
                </c:pt>
                <c:pt idx="103">
                  <c:v>2.97</c:v>
                </c:pt>
                <c:pt idx="104">
                  <c:v>4.17</c:v>
                </c:pt>
                <c:pt idx="105">
                  <c:v>4.32</c:v>
                </c:pt>
                <c:pt idx="106">
                  <c:v>4.49</c:v>
                </c:pt>
                <c:pt idx="107">
                  <c:v>2.59</c:v>
                </c:pt>
                <c:pt idx="108">
                  <c:v>3.19</c:v>
                </c:pt>
                <c:pt idx="109">
                  <c:v>3.25</c:v>
                </c:pt>
                <c:pt idx="110">
                  <c:v>3.99</c:v>
                </c:pt>
                <c:pt idx="111">
                  <c:v>4.1900000000000004</c:v>
                </c:pt>
                <c:pt idx="112">
                  <c:v>4.21</c:v>
                </c:pt>
                <c:pt idx="113">
                  <c:v>3.77</c:v>
                </c:pt>
                <c:pt idx="114">
                  <c:v>3.57</c:v>
                </c:pt>
                <c:pt idx="115">
                  <c:v>1.36</c:v>
                </c:pt>
                <c:pt idx="116">
                  <c:v>1.43</c:v>
                </c:pt>
                <c:pt idx="117">
                  <c:v>2.63</c:v>
                </c:pt>
                <c:pt idx="118">
                  <c:v>2.5299999999999998</c:v>
                </c:pt>
                <c:pt idx="119">
                  <c:v>2.52</c:v>
                </c:pt>
                <c:pt idx="120">
                  <c:v>3.16</c:v>
                </c:pt>
                <c:pt idx="121">
                  <c:v>4.33</c:v>
                </c:pt>
                <c:pt idx="122">
                  <c:v>4.37</c:v>
                </c:pt>
                <c:pt idx="123">
                  <c:v>2.72</c:v>
                </c:pt>
                <c:pt idx="124">
                  <c:v>3.27</c:v>
                </c:pt>
                <c:pt idx="125">
                  <c:v>4.03</c:v>
                </c:pt>
                <c:pt idx="126">
                  <c:v>4.21</c:v>
                </c:pt>
                <c:pt idx="127">
                  <c:v>2.4</c:v>
                </c:pt>
                <c:pt idx="128">
                  <c:v>2.94</c:v>
                </c:pt>
                <c:pt idx="129">
                  <c:v>3.96</c:v>
                </c:pt>
                <c:pt idx="130">
                  <c:v>3.98</c:v>
                </c:pt>
                <c:pt idx="131">
                  <c:v>3.34</c:v>
                </c:pt>
                <c:pt idx="132">
                  <c:v>3.09</c:v>
                </c:pt>
                <c:pt idx="133">
                  <c:v>2.89</c:v>
                </c:pt>
                <c:pt idx="134">
                  <c:v>1.32</c:v>
                </c:pt>
                <c:pt idx="135">
                  <c:v>1.6</c:v>
                </c:pt>
                <c:pt idx="136">
                  <c:v>1.65</c:v>
                </c:pt>
                <c:pt idx="137">
                  <c:v>1.48</c:v>
                </c:pt>
                <c:pt idx="138">
                  <c:v>2.4900000000000002</c:v>
                </c:pt>
                <c:pt idx="139">
                  <c:v>2.93</c:v>
                </c:pt>
                <c:pt idx="140">
                  <c:v>3.85</c:v>
                </c:pt>
                <c:pt idx="141">
                  <c:v>4.05</c:v>
                </c:pt>
                <c:pt idx="142">
                  <c:v>2.02</c:v>
                </c:pt>
                <c:pt idx="143">
                  <c:v>2.27</c:v>
                </c:pt>
                <c:pt idx="144">
                  <c:v>3.95</c:v>
                </c:pt>
                <c:pt idx="145">
                  <c:v>4.45</c:v>
                </c:pt>
                <c:pt idx="146">
                  <c:v>2.37</c:v>
                </c:pt>
                <c:pt idx="147">
                  <c:v>3.3</c:v>
                </c:pt>
                <c:pt idx="148">
                  <c:v>3.68</c:v>
                </c:pt>
                <c:pt idx="149">
                  <c:v>4.1900000000000004</c:v>
                </c:pt>
                <c:pt idx="150">
                  <c:v>1.83</c:v>
                </c:pt>
                <c:pt idx="151">
                  <c:v>2</c:v>
                </c:pt>
                <c:pt idx="152">
                  <c:v>3.24</c:v>
                </c:pt>
                <c:pt idx="153">
                  <c:v>3.01</c:v>
                </c:pt>
                <c:pt idx="154">
                  <c:v>1.4</c:v>
                </c:pt>
                <c:pt idx="155">
                  <c:v>1.72</c:v>
                </c:pt>
                <c:pt idx="156">
                  <c:v>1.95</c:v>
                </c:pt>
                <c:pt idx="157">
                  <c:v>2.5099999999999998</c:v>
                </c:pt>
                <c:pt idx="158">
                  <c:v>3.11</c:v>
                </c:pt>
                <c:pt idx="159">
                  <c:v>3.53</c:v>
                </c:pt>
                <c:pt idx="160">
                  <c:v>4.4000000000000004</c:v>
                </c:pt>
                <c:pt idx="161">
                  <c:v>4.57</c:v>
                </c:pt>
                <c:pt idx="162">
                  <c:v>3.54</c:v>
                </c:pt>
                <c:pt idx="163">
                  <c:v>4.41</c:v>
                </c:pt>
                <c:pt idx="164">
                  <c:v>4.3099999999999996</c:v>
                </c:pt>
                <c:pt idx="165">
                  <c:v>3.08</c:v>
                </c:pt>
                <c:pt idx="166">
                  <c:v>3.17</c:v>
                </c:pt>
                <c:pt idx="167">
                  <c:v>3.78</c:v>
                </c:pt>
                <c:pt idx="168">
                  <c:v>3.32</c:v>
                </c:pt>
                <c:pt idx="169">
                  <c:v>3.83</c:v>
                </c:pt>
                <c:pt idx="170">
                  <c:v>4.01</c:v>
                </c:pt>
                <c:pt idx="171">
                  <c:v>3.36</c:v>
                </c:pt>
                <c:pt idx="172">
                  <c:v>3.31</c:v>
                </c:pt>
                <c:pt idx="173">
                  <c:v>1.18</c:v>
                </c:pt>
                <c:pt idx="174">
                  <c:v>1.44</c:v>
                </c:pt>
                <c:pt idx="175">
                  <c:v>1.65</c:v>
                </c:pt>
                <c:pt idx="176">
                  <c:v>1.67</c:v>
                </c:pt>
                <c:pt idx="177">
                  <c:v>2.19</c:v>
                </c:pt>
                <c:pt idx="178">
                  <c:v>3.35</c:v>
                </c:pt>
                <c:pt idx="179">
                  <c:v>3.25</c:v>
                </c:pt>
                <c:pt idx="180">
                  <c:v>4.1900000000000004</c:v>
                </c:pt>
                <c:pt idx="181">
                  <c:v>1.8</c:v>
                </c:pt>
                <c:pt idx="182">
                  <c:v>2.2400000000000002</c:v>
                </c:pt>
                <c:pt idx="183">
                  <c:v>1.79</c:v>
                </c:pt>
                <c:pt idx="184">
                  <c:v>2.34</c:v>
                </c:pt>
                <c:pt idx="185">
                  <c:v>3.59</c:v>
                </c:pt>
                <c:pt idx="186">
                  <c:v>3.87</c:v>
                </c:pt>
                <c:pt idx="187">
                  <c:v>1.67</c:v>
                </c:pt>
                <c:pt idx="188">
                  <c:v>3.33</c:v>
                </c:pt>
                <c:pt idx="189">
                  <c:v>3.61</c:v>
                </c:pt>
                <c:pt idx="190">
                  <c:v>4.12</c:v>
                </c:pt>
                <c:pt idx="191">
                  <c:v>2.76</c:v>
                </c:pt>
                <c:pt idx="192">
                  <c:v>2.98</c:v>
                </c:pt>
                <c:pt idx="193">
                  <c:v>1.23</c:v>
                </c:pt>
                <c:pt idx="194">
                  <c:v>1.52</c:v>
                </c:pt>
                <c:pt idx="195">
                  <c:v>1.53</c:v>
                </c:pt>
                <c:pt idx="196">
                  <c:v>1.74</c:v>
                </c:pt>
                <c:pt idx="197">
                  <c:v>1.79</c:v>
                </c:pt>
                <c:pt idx="198">
                  <c:v>3.95</c:v>
                </c:pt>
                <c:pt idx="199">
                  <c:v>4.2699999999999996</c:v>
                </c:pt>
                <c:pt idx="200">
                  <c:v>4.2</c:v>
                </c:pt>
                <c:pt idx="201">
                  <c:v>2.75</c:v>
                </c:pt>
                <c:pt idx="202">
                  <c:v>3.84</c:v>
                </c:pt>
                <c:pt idx="203">
                  <c:v>4.24</c:v>
                </c:pt>
                <c:pt idx="204">
                  <c:v>4.37</c:v>
                </c:pt>
                <c:pt idx="205">
                  <c:v>2.39</c:v>
                </c:pt>
                <c:pt idx="206">
                  <c:v>2.0499999999999998</c:v>
                </c:pt>
                <c:pt idx="207">
                  <c:v>3.9</c:v>
                </c:pt>
                <c:pt idx="208">
                  <c:v>2.42</c:v>
                </c:pt>
                <c:pt idx="209">
                  <c:v>3.5</c:v>
                </c:pt>
                <c:pt idx="210">
                  <c:v>2.63</c:v>
                </c:pt>
                <c:pt idx="211">
                  <c:v>2.68</c:v>
                </c:pt>
                <c:pt idx="212">
                  <c:v>1.23</c:v>
                </c:pt>
                <c:pt idx="213">
                  <c:v>1.25</c:v>
                </c:pt>
                <c:pt idx="214">
                  <c:v>1.62</c:v>
                </c:pt>
                <c:pt idx="215">
                  <c:v>1.72</c:v>
                </c:pt>
                <c:pt idx="216">
                  <c:v>3.17</c:v>
                </c:pt>
                <c:pt idx="217">
                  <c:v>3.84</c:v>
                </c:pt>
                <c:pt idx="218">
                  <c:v>4.34</c:v>
                </c:pt>
                <c:pt idx="219">
                  <c:v>4.45</c:v>
                </c:pt>
                <c:pt idx="220">
                  <c:v>3.17</c:v>
                </c:pt>
                <c:pt idx="221">
                  <c:v>3.68</c:v>
                </c:pt>
                <c:pt idx="222">
                  <c:v>3.97</c:v>
                </c:pt>
                <c:pt idx="223">
                  <c:v>4.3899999999999997</c:v>
                </c:pt>
                <c:pt idx="224">
                  <c:v>4.38</c:v>
                </c:pt>
                <c:pt idx="225">
                  <c:v>3.96</c:v>
                </c:pt>
                <c:pt idx="226">
                  <c:v>4.2</c:v>
                </c:pt>
                <c:pt idx="227">
                  <c:v>3.17</c:v>
                </c:pt>
                <c:pt idx="228">
                  <c:v>4.21</c:v>
                </c:pt>
                <c:pt idx="229">
                  <c:v>3.77</c:v>
                </c:pt>
                <c:pt idx="230">
                  <c:v>3.81</c:v>
                </c:pt>
                <c:pt idx="231">
                  <c:v>3.35</c:v>
                </c:pt>
                <c:pt idx="232">
                  <c:v>1.53</c:v>
                </c:pt>
                <c:pt idx="233">
                  <c:v>1.63</c:v>
                </c:pt>
                <c:pt idx="234">
                  <c:v>2.54</c:v>
                </c:pt>
                <c:pt idx="235">
                  <c:v>2.39</c:v>
                </c:pt>
                <c:pt idx="236">
                  <c:v>3.39</c:v>
                </c:pt>
                <c:pt idx="237">
                  <c:v>4.3499999999999996</c:v>
                </c:pt>
                <c:pt idx="238">
                  <c:v>4.29</c:v>
                </c:pt>
                <c:pt idx="239">
                  <c:v>4.41</c:v>
                </c:pt>
                <c:pt idx="240">
                  <c:v>2.58</c:v>
                </c:pt>
                <c:pt idx="241">
                  <c:v>3.81</c:v>
                </c:pt>
                <c:pt idx="242">
                  <c:v>2.17</c:v>
                </c:pt>
                <c:pt idx="243">
                  <c:v>3.95</c:v>
                </c:pt>
                <c:pt idx="244">
                  <c:v>3.53</c:v>
                </c:pt>
                <c:pt idx="245">
                  <c:v>2.0099999999999998</c:v>
                </c:pt>
                <c:pt idx="246">
                  <c:v>2.65</c:v>
                </c:pt>
                <c:pt idx="247">
                  <c:v>2.06</c:v>
                </c:pt>
                <c:pt idx="248">
                  <c:v>3.29</c:v>
                </c:pt>
                <c:pt idx="249">
                  <c:v>3.52</c:v>
                </c:pt>
                <c:pt idx="250">
                  <c:v>2.48</c:v>
                </c:pt>
                <c:pt idx="251">
                  <c:v>1.43</c:v>
                </c:pt>
                <c:pt idx="252">
                  <c:v>1.58</c:v>
                </c:pt>
                <c:pt idx="253">
                  <c:v>1.87</c:v>
                </c:pt>
                <c:pt idx="254">
                  <c:v>1.89</c:v>
                </c:pt>
                <c:pt idx="255">
                  <c:v>2.17</c:v>
                </c:pt>
                <c:pt idx="256">
                  <c:v>2.5</c:v>
                </c:pt>
                <c:pt idx="257">
                  <c:v>3.59</c:v>
                </c:pt>
                <c:pt idx="258">
                  <c:v>3.38</c:v>
                </c:pt>
                <c:pt idx="259">
                  <c:v>1.59</c:v>
                </c:pt>
                <c:pt idx="260">
                  <c:v>2.15</c:v>
                </c:pt>
                <c:pt idx="261">
                  <c:v>2.69</c:v>
                </c:pt>
                <c:pt idx="262">
                  <c:v>3.01</c:v>
                </c:pt>
                <c:pt idx="263">
                  <c:v>1.9</c:v>
                </c:pt>
                <c:pt idx="264">
                  <c:v>2.27</c:v>
                </c:pt>
                <c:pt idx="265">
                  <c:v>3.09</c:v>
                </c:pt>
                <c:pt idx="266">
                  <c:v>2.63</c:v>
                </c:pt>
                <c:pt idx="267">
                  <c:v>3.27</c:v>
                </c:pt>
                <c:pt idx="268">
                  <c:v>2.42</c:v>
                </c:pt>
                <c:pt idx="269">
                  <c:v>2.3199999999999998</c:v>
                </c:pt>
                <c:pt idx="270">
                  <c:v>1.28</c:v>
                </c:pt>
                <c:pt idx="271">
                  <c:v>1.2</c:v>
                </c:pt>
                <c:pt idx="272">
                  <c:v>1.68</c:v>
                </c:pt>
                <c:pt idx="273">
                  <c:v>1.58</c:v>
                </c:pt>
                <c:pt idx="274">
                  <c:v>2.5099999999999998</c:v>
                </c:pt>
                <c:pt idx="275">
                  <c:v>3.89</c:v>
                </c:pt>
                <c:pt idx="276">
                  <c:v>4.12</c:v>
                </c:pt>
                <c:pt idx="277">
                  <c:v>4.18</c:v>
                </c:pt>
                <c:pt idx="278">
                  <c:v>2.5099999999999998</c:v>
                </c:pt>
                <c:pt idx="279">
                  <c:v>2.96</c:v>
                </c:pt>
                <c:pt idx="280">
                  <c:v>4.0599999999999996</c:v>
                </c:pt>
                <c:pt idx="281">
                  <c:v>4.25</c:v>
                </c:pt>
                <c:pt idx="282">
                  <c:v>2.59</c:v>
                </c:pt>
                <c:pt idx="283">
                  <c:v>2.82</c:v>
                </c:pt>
                <c:pt idx="284">
                  <c:v>1.88</c:v>
                </c:pt>
                <c:pt idx="285">
                  <c:v>2.9</c:v>
                </c:pt>
                <c:pt idx="286">
                  <c:v>3.43</c:v>
                </c:pt>
                <c:pt idx="287">
                  <c:v>2.6</c:v>
                </c:pt>
                <c:pt idx="288">
                  <c:v>2.79</c:v>
                </c:pt>
                <c:pt idx="289">
                  <c:v>1.29</c:v>
                </c:pt>
                <c:pt idx="290">
                  <c:v>1.36</c:v>
                </c:pt>
                <c:pt idx="291">
                  <c:v>1.46</c:v>
                </c:pt>
                <c:pt idx="292">
                  <c:v>1.5</c:v>
                </c:pt>
                <c:pt idx="293">
                  <c:v>2.74</c:v>
                </c:pt>
                <c:pt idx="294">
                  <c:v>4.26</c:v>
                </c:pt>
                <c:pt idx="295">
                  <c:v>4.2699999999999996</c:v>
                </c:pt>
                <c:pt idx="296">
                  <c:v>4.28</c:v>
                </c:pt>
                <c:pt idx="297">
                  <c:v>2.42</c:v>
                </c:pt>
                <c:pt idx="298">
                  <c:v>3.41</c:v>
                </c:pt>
                <c:pt idx="299">
                  <c:v>2.33</c:v>
                </c:pt>
                <c:pt idx="300">
                  <c:v>4.07</c:v>
                </c:pt>
                <c:pt idx="301">
                  <c:v>4.21</c:v>
                </c:pt>
                <c:pt idx="302">
                  <c:v>4.16</c:v>
                </c:pt>
                <c:pt idx="303">
                  <c:v>2.9</c:v>
                </c:pt>
                <c:pt idx="304">
                  <c:v>3.83</c:v>
                </c:pt>
                <c:pt idx="305">
                  <c:v>3.81</c:v>
                </c:pt>
                <c:pt idx="306">
                  <c:v>3.87</c:v>
                </c:pt>
                <c:pt idx="307">
                  <c:v>3.32</c:v>
                </c:pt>
                <c:pt idx="308">
                  <c:v>1.18</c:v>
                </c:pt>
                <c:pt idx="309">
                  <c:v>1.46</c:v>
                </c:pt>
                <c:pt idx="310">
                  <c:v>1.44</c:v>
                </c:pt>
                <c:pt idx="311">
                  <c:v>1.72</c:v>
                </c:pt>
                <c:pt idx="312">
                  <c:v>2.36</c:v>
                </c:pt>
                <c:pt idx="313">
                  <c:v>3.27</c:v>
                </c:pt>
                <c:pt idx="314">
                  <c:v>3.7</c:v>
                </c:pt>
                <c:pt idx="315">
                  <c:v>3.86</c:v>
                </c:pt>
                <c:pt idx="316">
                  <c:v>1.76</c:v>
                </c:pt>
                <c:pt idx="317">
                  <c:v>1.58</c:v>
                </c:pt>
                <c:pt idx="318">
                  <c:v>2.21</c:v>
                </c:pt>
                <c:pt idx="319">
                  <c:v>2.82</c:v>
                </c:pt>
                <c:pt idx="320">
                  <c:v>1.75</c:v>
                </c:pt>
                <c:pt idx="321">
                  <c:v>3.29</c:v>
                </c:pt>
                <c:pt idx="322">
                  <c:v>2.61</c:v>
                </c:pt>
                <c:pt idx="323">
                  <c:v>2.41</c:v>
                </c:pt>
                <c:pt idx="324">
                  <c:v>2.41</c:v>
                </c:pt>
                <c:pt idx="325">
                  <c:v>2.89</c:v>
                </c:pt>
                <c:pt idx="326">
                  <c:v>2.15</c:v>
                </c:pt>
                <c:pt idx="327">
                  <c:v>1.1100000000000001</c:v>
                </c:pt>
                <c:pt idx="328">
                  <c:v>1.36</c:v>
                </c:pt>
                <c:pt idx="329">
                  <c:v>1.34</c:v>
                </c:pt>
                <c:pt idx="330">
                  <c:v>1.48</c:v>
                </c:pt>
                <c:pt idx="331">
                  <c:v>4.25</c:v>
                </c:pt>
                <c:pt idx="332">
                  <c:v>2.36</c:v>
                </c:pt>
                <c:pt idx="333">
                  <c:v>4.24</c:v>
                </c:pt>
                <c:pt idx="334">
                  <c:v>1.63</c:v>
                </c:pt>
                <c:pt idx="335">
                  <c:v>3.98</c:v>
                </c:pt>
                <c:pt idx="336">
                  <c:v>3.29</c:v>
                </c:pt>
                <c:pt idx="337">
                  <c:v>1.29</c:v>
                </c:pt>
                <c:pt idx="338">
                  <c:v>3.77</c:v>
                </c:pt>
                <c:pt idx="339">
                  <c:v>2.78</c:v>
                </c:pt>
                <c:pt idx="340">
                  <c:v>1.53</c:v>
                </c:pt>
                <c:pt idx="341">
                  <c:v>4.3899999999999997</c:v>
                </c:pt>
                <c:pt idx="342">
                  <c:v>3.88</c:v>
                </c:pt>
                <c:pt idx="343">
                  <c:v>1.75</c:v>
                </c:pt>
                <c:pt idx="344">
                  <c:v>3.04</c:v>
                </c:pt>
                <c:pt idx="345">
                  <c:v>2.37</c:v>
                </c:pt>
                <c:pt idx="346">
                  <c:v>3.61</c:v>
                </c:pt>
                <c:pt idx="347">
                  <c:v>2.2799999999999998</c:v>
                </c:pt>
                <c:pt idx="348">
                  <c:v>1.51</c:v>
                </c:pt>
                <c:pt idx="349">
                  <c:v>4.28</c:v>
                </c:pt>
                <c:pt idx="350">
                  <c:v>2.0699999999999998</c:v>
                </c:pt>
                <c:pt idx="351">
                  <c:v>3.92</c:v>
                </c:pt>
                <c:pt idx="352">
                  <c:v>1.88</c:v>
                </c:pt>
                <c:pt idx="353">
                  <c:v>3.53</c:v>
                </c:pt>
                <c:pt idx="354">
                  <c:v>1.59</c:v>
                </c:pt>
                <c:pt idx="355">
                  <c:v>3.55</c:v>
                </c:pt>
                <c:pt idx="356">
                  <c:v>1.28</c:v>
                </c:pt>
                <c:pt idx="357">
                  <c:v>4.04</c:v>
                </c:pt>
                <c:pt idx="358">
                  <c:v>1.35</c:v>
                </c:pt>
                <c:pt idx="359">
                  <c:v>3.44</c:v>
                </c:pt>
                <c:pt idx="360">
                  <c:v>2.46</c:v>
                </c:pt>
                <c:pt idx="361">
                  <c:v>3.73</c:v>
                </c:pt>
                <c:pt idx="362">
                  <c:v>3.27</c:v>
                </c:pt>
                <c:pt idx="363">
                  <c:v>4.0999999999999996</c:v>
                </c:pt>
                <c:pt idx="364">
                  <c:v>3.92</c:v>
                </c:pt>
                <c:pt idx="365">
                  <c:v>3.71</c:v>
                </c:pt>
                <c:pt idx="366">
                  <c:v>2.0699999999999998</c:v>
                </c:pt>
                <c:pt idx="367">
                  <c:v>4.2</c:v>
                </c:pt>
                <c:pt idx="368">
                  <c:v>2.13</c:v>
                </c:pt>
                <c:pt idx="369">
                  <c:v>4.3</c:v>
                </c:pt>
                <c:pt idx="370">
                  <c:v>2.31</c:v>
                </c:pt>
                <c:pt idx="371">
                  <c:v>2.44</c:v>
                </c:pt>
                <c:pt idx="372">
                  <c:v>4.6100000000000003</c:v>
                </c:pt>
                <c:pt idx="373">
                  <c:v>2.41</c:v>
                </c:pt>
                <c:pt idx="374">
                  <c:v>1.67</c:v>
                </c:pt>
                <c:pt idx="375">
                  <c:v>4.3899999999999997</c:v>
                </c:pt>
                <c:pt idx="376">
                  <c:v>3.96</c:v>
                </c:pt>
                <c:pt idx="377">
                  <c:v>4.05</c:v>
                </c:pt>
                <c:pt idx="378">
                  <c:v>2.8</c:v>
                </c:pt>
                <c:pt idx="379">
                  <c:v>4.1399999999999997</c:v>
                </c:pt>
                <c:pt idx="380">
                  <c:v>2.85</c:v>
                </c:pt>
                <c:pt idx="381">
                  <c:v>4.34</c:v>
                </c:pt>
                <c:pt idx="382">
                  <c:v>2.4700000000000002</c:v>
                </c:pt>
                <c:pt idx="383">
                  <c:v>4.5</c:v>
                </c:pt>
                <c:pt idx="384">
                  <c:v>2.94</c:v>
                </c:pt>
                <c:pt idx="385">
                  <c:v>4.6100000000000003</c:v>
                </c:pt>
                <c:pt idx="386">
                  <c:v>2.19</c:v>
                </c:pt>
                <c:pt idx="387">
                  <c:v>1.33</c:v>
                </c:pt>
                <c:pt idx="388">
                  <c:v>4.2699999999999996</c:v>
                </c:pt>
                <c:pt idx="389">
                  <c:v>1.86</c:v>
                </c:pt>
                <c:pt idx="390">
                  <c:v>4.7300000000000004</c:v>
                </c:pt>
                <c:pt idx="391">
                  <c:v>4.67</c:v>
                </c:pt>
                <c:pt idx="392">
                  <c:v>1.47</c:v>
                </c:pt>
                <c:pt idx="393">
                  <c:v>4.07</c:v>
                </c:pt>
                <c:pt idx="394">
                  <c:v>3.76</c:v>
                </c:pt>
                <c:pt idx="395">
                  <c:v>3.86</c:v>
                </c:pt>
                <c:pt idx="396">
                  <c:v>3.6</c:v>
                </c:pt>
                <c:pt idx="397">
                  <c:v>4.32</c:v>
                </c:pt>
                <c:pt idx="398">
                  <c:v>2.94</c:v>
                </c:pt>
                <c:pt idx="399">
                  <c:v>1.74</c:v>
                </c:pt>
                <c:pt idx="400">
                  <c:v>4.55</c:v>
                </c:pt>
                <c:pt idx="401">
                  <c:v>2.14</c:v>
                </c:pt>
                <c:pt idx="402">
                  <c:v>1.44</c:v>
                </c:pt>
                <c:pt idx="403">
                  <c:v>4.1100000000000003</c:v>
                </c:pt>
                <c:pt idx="404">
                  <c:v>3.96</c:v>
                </c:pt>
                <c:pt idx="405">
                  <c:v>1.68</c:v>
                </c:pt>
                <c:pt idx="406">
                  <c:v>4.5599999999999996</c:v>
                </c:pt>
                <c:pt idx="407">
                  <c:v>4.32</c:v>
                </c:pt>
                <c:pt idx="408">
                  <c:v>3.57</c:v>
                </c:pt>
                <c:pt idx="409">
                  <c:v>3.74</c:v>
                </c:pt>
                <c:pt idx="410">
                  <c:v>2.9</c:v>
                </c:pt>
                <c:pt idx="411">
                  <c:v>4.62</c:v>
                </c:pt>
                <c:pt idx="412">
                  <c:v>4.13</c:v>
                </c:pt>
                <c:pt idx="413">
                  <c:v>1.26</c:v>
                </c:pt>
                <c:pt idx="414">
                  <c:v>3.47</c:v>
                </c:pt>
                <c:pt idx="415">
                  <c:v>1.89</c:v>
                </c:pt>
                <c:pt idx="416">
                  <c:v>3.36</c:v>
                </c:pt>
                <c:pt idx="417">
                  <c:v>1.79</c:v>
                </c:pt>
                <c:pt idx="418">
                  <c:v>4.16</c:v>
                </c:pt>
                <c:pt idx="419">
                  <c:v>3.8</c:v>
                </c:pt>
                <c:pt idx="420">
                  <c:v>3.31</c:v>
                </c:pt>
                <c:pt idx="421">
                  <c:v>4.43</c:v>
                </c:pt>
                <c:pt idx="422">
                  <c:v>4.17</c:v>
                </c:pt>
                <c:pt idx="423">
                  <c:v>1.59</c:v>
                </c:pt>
                <c:pt idx="424">
                  <c:v>4.49</c:v>
                </c:pt>
                <c:pt idx="425">
                  <c:v>4.34</c:v>
                </c:pt>
                <c:pt idx="426">
                  <c:v>3.22</c:v>
                </c:pt>
                <c:pt idx="427">
                  <c:v>4.4400000000000004</c:v>
                </c:pt>
                <c:pt idx="428">
                  <c:v>2.91</c:v>
                </c:pt>
                <c:pt idx="429">
                  <c:v>4.49</c:v>
                </c:pt>
                <c:pt idx="430">
                  <c:v>3.84</c:v>
                </c:pt>
                <c:pt idx="431">
                  <c:v>4.26</c:v>
                </c:pt>
                <c:pt idx="432">
                  <c:v>4.1399999999999997</c:v>
                </c:pt>
                <c:pt idx="433">
                  <c:v>3.04</c:v>
                </c:pt>
                <c:pt idx="434">
                  <c:v>3.96</c:v>
                </c:pt>
                <c:pt idx="435">
                  <c:v>2.82</c:v>
                </c:pt>
                <c:pt idx="436">
                  <c:v>3.74</c:v>
                </c:pt>
                <c:pt idx="437">
                  <c:v>3.58</c:v>
                </c:pt>
                <c:pt idx="438">
                  <c:v>3.93</c:v>
                </c:pt>
                <c:pt idx="439">
                  <c:v>3.1</c:v>
                </c:pt>
                <c:pt idx="440">
                  <c:v>3.9</c:v>
                </c:pt>
                <c:pt idx="441">
                  <c:v>3.36</c:v>
                </c:pt>
                <c:pt idx="442">
                  <c:v>4.3099999999999996</c:v>
                </c:pt>
                <c:pt idx="443">
                  <c:v>3.54</c:v>
                </c:pt>
                <c:pt idx="444">
                  <c:v>2.29</c:v>
                </c:pt>
                <c:pt idx="445">
                  <c:v>4.33</c:v>
                </c:pt>
                <c:pt idx="446">
                  <c:v>2.92</c:v>
                </c:pt>
                <c:pt idx="447">
                  <c:v>4.37</c:v>
                </c:pt>
                <c:pt idx="448">
                  <c:v>3.81</c:v>
                </c:pt>
                <c:pt idx="449">
                  <c:v>1.4</c:v>
                </c:pt>
                <c:pt idx="450">
                  <c:v>3.63</c:v>
                </c:pt>
                <c:pt idx="451">
                  <c:v>2.21</c:v>
                </c:pt>
                <c:pt idx="452">
                  <c:v>3.96</c:v>
                </c:pt>
                <c:pt idx="453">
                  <c:v>2.74</c:v>
                </c:pt>
                <c:pt idx="454">
                  <c:v>3.72</c:v>
                </c:pt>
                <c:pt idx="455">
                  <c:v>3.62</c:v>
                </c:pt>
                <c:pt idx="456">
                  <c:v>4.0599999999999996</c:v>
                </c:pt>
                <c:pt idx="457">
                  <c:v>3.56</c:v>
                </c:pt>
                <c:pt idx="458">
                  <c:v>3.54</c:v>
                </c:pt>
                <c:pt idx="459">
                  <c:v>3.17</c:v>
                </c:pt>
                <c:pt idx="460">
                  <c:v>4.47</c:v>
                </c:pt>
                <c:pt idx="461">
                  <c:v>2.14</c:v>
                </c:pt>
                <c:pt idx="462">
                  <c:v>1.4</c:v>
                </c:pt>
                <c:pt idx="463">
                  <c:v>4.47</c:v>
                </c:pt>
                <c:pt idx="464">
                  <c:v>2.5</c:v>
                </c:pt>
                <c:pt idx="465">
                  <c:v>4.51</c:v>
                </c:pt>
                <c:pt idx="466">
                  <c:v>3.31</c:v>
                </c:pt>
                <c:pt idx="467">
                  <c:v>1.19</c:v>
                </c:pt>
                <c:pt idx="468">
                  <c:v>4.58</c:v>
                </c:pt>
                <c:pt idx="469">
                  <c:v>1.19</c:v>
                </c:pt>
                <c:pt idx="470">
                  <c:v>3.59</c:v>
                </c:pt>
                <c:pt idx="471">
                  <c:v>2.56</c:v>
                </c:pt>
                <c:pt idx="472">
                  <c:v>4.2699999999999996</c:v>
                </c:pt>
                <c:pt idx="473">
                  <c:v>1.76</c:v>
                </c:pt>
                <c:pt idx="474">
                  <c:v>1.48</c:v>
                </c:pt>
                <c:pt idx="475">
                  <c:v>4.45</c:v>
                </c:pt>
                <c:pt idx="476">
                  <c:v>1.46</c:v>
                </c:pt>
                <c:pt idx="477">
                  <c:v>2.14</c:v>
                </c:pt>
                <c:pt idx="478">
                  <c:v>1.29</c:v>
                </c:pt>
                <c:pt idx="479">
                  <c:v>4.2300000000000004</c:v>
                </c:pt>
                <c:pt idx="480">
                  <c:v>4</c:v>
                </c:pt>
                <c:pt idx="481">
                  <c:v>1.65</c:v>
                </c:pt>
                <c:pt idx="482">
                  <c:v>4.3099999999999996</c:v>
                </c:pt>
                <c:pt idx="483">
                  <c:v>1.87</c:v>
                </c:pt>
                <c:pt idx="484">
                  <c:v>1.41</c:v>
                </c:pt>
                <c:pt idx="485">
                  <c:v>3.58</c:v>
                </c:pt>
                <c:pt idx="486">
                  <c:v>1.76</c:v>
                </c:pt>
                <c:pt idx="487">
                  <c:v>1.32</c:v>
                </c:pt>
                <c:pt idx="488">
                  <c:v>4.2699999999999996</c:v>
                </c:pt>
                <c:pt idx="489">
                  <c:v>2.52</c:v>
                </c:pt>
                <c:pt idx="490">
                  <c:v>1.21</c:v>
                </c:pt>
                <c:pt idx="491">
                  <c:v>3.81</c:v>
                </c:pt>
                <c:pt idx="492">
                  <c:v>1.78</c:v>
                </c:pt>
                <c:pt idx="493">
                  <c:v>3.04</c:v>
                </c:pt>
                <c:pt idx="494">
                  <c:v>1.44</c:v>
                </c:pt>
                <c:pt idx="495">
                  <c:v>3.7</c:v>
                </c:pt>
                <c:pt idx="496">
                  <c:v>1.75</c:v>
                </c:pt>
                <c:pt idx="497">
                  <c:v>4.08</c:v>
                </c:pt>
                <c:pt idx="498">
                  <c:v>3.6</c:v>
                </c:pt>
                <c:pt idx="499">
                  <c:v>2.06</c:v>
                </c:pt>
                <c:pt idx="500">
                  <c:v>4.47</c:v>
                </c:pt>
                <c:pt idx="501">
                  <c:v>2.13</c:v>
                </c:pt>
                <c:pt idx="502">
                  <c:v>4.0999999999999996</c:v>
                </c:pt>
                <c:pt idx="503">
                  <c:v>3.82</c:v>
                </c:pt>
                <c:pt idx="504">
                  <c:v>2.65</c:v>
                </c:pt>
                <c:pt idx="505">
                  <c:v>4.6900000000000004</c:v>
                </c:pt>
                <c:pt idx="506">
                  <c:v>3.98</c:v>
                </c:pt>
                <c:pt idx="507">
                  <c:v>2.2799999999999998</c:v>
                </c:pt>
                <c:pt idx="508">
                  <c:v>3.94</c:v>
                </c:pt>
                <c:pt idx="509">
                  <c:v>2.71</c:v>
                </c:pt>
                <c:pt idx="510">
                  <c:v>4.1500000000000004</c:v>
                </c:pt>
                <c:pt idx="511">
                  <c:v>1.96</c:v>
                </c:pt>
                <c:pt idx="512">
                  <c:v>4.08</c:v>
                </c:pt>
                <c:pt idx="513">
                  <c:v>3.4</c:v>
                </c:pt>
                <c:pt idx="514">
                  <c:v>4.33</c:v>
                </c:pt>
                <c:pt idx="515">
                  <c:v>4.09</c:v>
                </c:pt>
                <c:pt idx="516">
                  <c:v>4.3099999999999996</c:v>
                </c:pt>
                <c:pt idx="517">
                  <c:v>4.09</c:v>
                </c:pt>
                <c:pt idx="518">
                  <c:v>2.64</c:v>
                </c:pt>
                <c:pt idx="519">
                  <c:v>3.52</c:v>
                </c:pt>
                <c:pt idx="520">
                  <c:v>2.71</c:v>
                </c:pt>
                <c:pt idx="521">
                  <c:v>3.84</c:v>
                </c:pt>
                <c:pt idx="522">
                  <c:v>1.66</c:v>
                </c:pt>
                <c:pt idx="523">
                  <c:v>3.96</c:v>
                </c:pt>
                <c:pt idx="524">
                  <c:v>2.72</c:v>
                </c:pt>
                <c:pt idx="525">
                  <c:v>1.39</c:v>
                </c:pt>
                <c:pt idx="526">
                  <c:v>4.05</c:v>
                </c:pt>
                <c:pt idx="527">
                  <c:v>1.85</c:v>
                </c:pt>
                <c:pt idx="528">
                  <c:v>3.61</c:v>
                </c:pt>
                <c:pt idx="529">
                  <c:v>1.98</c:v>
                </c:pt>
                <c:pt idx="530">
                  <c:v>3.73</c:v>
                </c:pt>
                <c:pt idx="531">
                  <c:v>2.25</c:v>
                </c:pt>
                <c:pt idx="532">
                  <c:v>3.88</c:v>
                </c:pt>
                <c:pt idx="533">
                  <c:v>2.82</c:v>
                </c:pt>
                <c:pt idx="534">
                  <c:v>2.63</c:v>
                </c:pt>
                <c:pt idx="535">
                  <c:v>1.68</c:v>
                </c:pt>
                <c:pt idx="536">
                  <c:v>4</c:v>
                </c:pt>
                <c:pt idx="537">
                  <c:v>2.06</c:v>
                </c:pt>
                <c:pt idx="538">
                  <c:v>1.39</c:v>
                </c:pt>
                <c:pt idx="539">
                  <c:v>4.3</c:v>
                </c:pt>
                <c:pt idx="540">
                  <c:v>3.14</c:v>
                </c:pt>
                <c:pt idx="541">
                  <c:v>1.23</c:v>
                </c:pt>
                <c:pt idx="542">
                  <c:v>4.2</c:v>
                </c:pt>
                <c:pt idx="543">
                  <c:v>3.1</c:v>
                </c:pt>
                <c:pt idx="544">
                  <c:v>1.2</c:v>
                </c:pt>
                <c:pt idx="545">
                  <c:v>4.26</c:v>
                </c:pt>
                <c:pt idx="546">
                  <c:v>1.4</c:v>
                </c:pt>
                <c:pt idx="547">
                  <c:v>1.1499999999999999</c:v>
                </c:pt>
                <c:pt idx="548">
                  <c:v>3.62</c:v>
                </c:pt>
                <c:pt idx="549">
                  <c:v>4.26</c:v>
                </c:pt>
                <c:pt idx="550">
                  <c:v>1.35</c:v>
                </c:pt>
                <c:pt idx="551">
                  <c:v>4.12</c:v>
                </c:pt>
                <c:pt idx="552">
                  <c:v>3.62</c:v>
                </c:pt>
                <c:pt idx="553">
                  <c:v>1.41</c:v>
                </c:pt>
                <c:pt idx="554">
                  <c:v>4.29</c:v>
                </c:pt>
                <c:pt idx="555">
                  <c:v>3.44</c:v>
                </c:pt>
                <c:pt idx="556">
                  <c:v>1.61</c:v>
                </c:pt>
                <c:pt idx="557">
                  <c:v>3.88</c:v>
                </c:pt>
                <c:pt idx="558">
                  <c:v>3.32</c:v>
                </c:pt>
                <c:pt idx="559">
                  <c:v>1.4</c:v>
                </c:pt>
                <c:pt idx="560">
                  <c:v>2.52</c:v>
                </c:pt>
                <c:pt idx="561">
                  <c:v>1.26</c:v>
                </c:pt>
                <c:pt idx="562">
                  <c:v>2.99</c:v>
                </c:pt>
                <c:pt idx="563">
                  <c:v>2.0299999999999998</c:v>
                </c:pt>
                <c:pt idx="564">
                  <c:v>1.29</c:v>
                </c:pt>
                <c:pt idx="565">
                  <c:v>4.24</c:v>
                </c:pt>
                <c:pt idx="566">
                  <c:v>2.88</c:v>
                </c:pt>
                <c:pt idx="567">
                  <c:v>1.17</c:v>
                </c:pt>
                <c:pt idx="568">
                  <c:v>2.57</c:v>
                </c:pt>
                <c:pt idx="569">
                  <c:v>1.42</c:v>
                </c:pt>
                <c:pt idx="570">
                  <c:v>3.41</c:v>
                </c:pt>
                <c:pt idx="571">
                  <c:v>2.5499999999999998</c:v>
                </c:pt>
                <c:pt idx="572">
                  <c:v>3.02</c:v>
                </c:pt>
                <c:pt idx="573">
                  <c:v>1.44</c:v>
                </c:pt>
                <c:pt idx="574">
                  <c:v>3.64</c:v>
                </c:pt>
                <c:pt idx="575">
                  <c:v>1.3</c:v>
                </c:pt>
                <c:pt idx="576">
                  <c:v>3.97</c:v>
                </c:pt>
                <c:pt idx="577">
                  <c:v>2.77</c:v>
                </c:pt>
                <c:pt idx="578">
                  <c:v>1.58</c:v>
                </c:pt>
                <c:pt idx="579">
                  <c:v>4.34</c:v>
                </c:pt>
                <c:pt idx="580">
                  <c:v>2.19</c:v>
                </c:pt>
                <c:pt idx="581">
                  <c:v>3.46</c:v>
                </c:pt>
                <c:pt idx="582">
                  <c:v>1.71</c:v>
                </c:pt>
                <c:pt idx="583">
                  <c:v>4.2300000000000004</c:v>
                </c:pt>
                <c:pt idx="584">
                  <c:v>3.32</c:v>
                </c:pt>
                <c:pt idx="585">
                  <c:v>1.69</c:v>
                </c:pt>
                <c:pt idx="586">
                  <c:v>2.76</c:v>
                </c:pt>
                <c:pt idx="587">
                  <c:v>1.75</c:v>
                </c:pt>
                <c:pt idx="588">
                  <c:v>2.85</c:v>
                </c:pt>
                <c:pt idx="589">
                  <c:v>2.14</c:v>
                </c:pt>
                <c:pt idx="590">
                  <c:v>3.46</c:v>
                </c:pt>
                <c:pt idx="591">
                  <c:v>3.22</c:v>
                </c:pt>
                <c:pt idx="592">
                  <c:v>2.71</c:v>
                </c:pt>
                <c:pt idx="593">
                  <c:v>1.62</c:v>
                </c:pt>
                <c:pt idx="594">
                  <c:v>4.22</c:v>
                </c:pt>
                <c:pt idx="595">
                  <c:v>1.8</c:v>
                </c:pt>
                <c:pt idx="596">
                  <c:v>4.13</c:v>
                </c:pt>
                <c:pt idx="597">
                  <c:v>2.4300000000000002</c:v>
                </c:pt>
                <c:pt idx="598">
                  <c:v>4.32</c:v>
                </c:pt>
                <c:pt idx="599">
                  <c:v>2</c:v>
                </c:pt>
                <c:pt idx="600">
                  <c:v>3.49</c:v>
                </c:pt>
                <c:pt idx="601">
                  <c:v>2.76</c:v>
                </c:pt>
                <c:pt idx="602">
                  <c:v>3.86</c:v>
                </c:pt>
                <c:pt idx="603">
                  <c:v>1.78</c:v>
                </c:pt>
                <c:pt idx="604">
                  <c:v>3.62</c:v>
                </c:pt>
                <c:pt idx="605">
                  <c:v>2.14</c:v>
                </c:pt>
                <c:pt idx="606">
                  <c:v>3.98</c:v>
                </c:pt>
                <c:pt idx="607">
                  <c:v>3.75</c:v>
                </c:pt>
                <c:pt idx="608">
                  <c:v>4.03</c:v>
                </c:pt>
                <c:pt idx="609">
                  <c:v>3.99</c:v>
                </c:pt>
              </c:numCache>
            </c:numRef>
          </c:xVal>
          <c:yVal>
            <c:numRef>
              <c:f>Foglio1!$C$2:$C$621</c:f>
              <c:numCache>
                <c:formatCode>0.00</c:formatCode>
                <c:ptCount val="620"/>
                <c:pt idx="0">
                  <c:v>2.5853979587554932</c:v>
                </c:pt>
                <c:pt idx="1">
                  <c:v>3.6673736572265621</c:v>
                </c:pt>
                <c:pt idx="2">
                  <c:v>3.1293098926544189</c:v>
                </c:pt>
                <c:pt idx="3">
                  <c:v>2.515871524810791</c:v>
                </c:pt>
                <c:pt idx="4">
                  <c:v>3.0467395782470699</c:v>
                </c:pt>
                <c:pt idx="5">
                  <c:v>2.611690759658813</c:v>
                </c:pt>
                <c:pt idx="6">
                  <c:v>4.3702092170715332</c:v>
                </c:pt>
                <c:pt idx="7">
                  <c:v>3.4265725612640381</c:v>
                </c:pt>
                <c:pt idx="8">
                  <c:v>3.0185565948486328</c:v>
                </c:pt>
                <c:pt idx="9">
                  <c:v>3.801620244979858</c:v>
                </c:pt>
                <c:pt idx="10">
                  <c:v>2.0880601406097412</c:v>
                </c:pt>
                <c:pt idx="11">
                  <c:v>3.3985886573791499</c:v>
                </c:pt>
                <c:pt idx="12">
                  <c:v>4.2897262573242188</c:v>
                </c:pt>
                <c:pt idx="13">
                  <c:v>3.5846588611602779</c:v>
                </c:pt>
                <c:pt idx="14">
                  <c:v>2.2555990219116211</c:v>
                </c:pt>
                <c:pt idx="15">
                  <c:v>4.5843410491943359</c:v>
                </c:pt>
                <c:pt idx="16">
                  <c:v>2.6912884712219238</c:v>
                </c:pt>
                <c:pt idx="17">
                  <c:v>4.2564797401428223</c:v>
                </c:pt>
                <c:pt idx="18">
                  <c:v>4.6177830696105957</c:v>
                </c:pt>
                <c:pt idx="19">
                  <c:v>4.044987678527832</c:v>
                </c:pt>
                <c:pt idx="20">
                  <c:v>4.7354130744934082</c:v>
                </c:pt>
                <c:pt idx="21">
                  <c:v>1.977089405059814</c:v>
                </c:pt>
                <c:pt idx="22">
                  <c:v>2.8050861358642578</c:v>
                </c:pt>
                <c:pt idx="23">
                  <c:v>4.1693511009216309</c:v>
                </c:pt>
                <c:pt idx="24">
                  <c:v>4.602198600769043</c:v>
                </c:pt>
                <c:pt idx="25">
                  <c:v>2.7017397880554199</c:v>
                </c:pt>
                <c:pt idx="26">
                  <c:v>3.7143318653106689</c:v>
                </c:pt>
                <c:pt idx="27">
                  <c:v>3.9540591239929199</c:v>
                </c:pt>
                <c:pt idx="28">
                  <c:v>4.1832699775695801</c:v>
                </c:pt>
                <c:pt idx="29">
                  <c:v>1.8299916982650759</c:v>
                </c:pt>
                <c:pt idx="30">
                  <c:v>3.3335855007171631</c:v>
                </c:pt>
                <c:pt idx="31">
                  <c:v>2.2747983932495122</c:v>
                </c:pt>
                <c:pt idx="32">
                  <c:v>3.594338178634644</c:v>
                </c:pt>
                <c:pt idx="33">
                  <c:v>3.7138791084289551</c:v>
                </c:pt>
                <c:pt idx="34">
                  <c:v>3.6036579608917241</c:v>
                </c:pt>
                <c:pt idx="35">
                  <c:v>3.7541403770446782</c:v>
                </c:pt>
                <c:pt idx="36">
                  <c:v>1.30279016494751</c:v>
                </c:pt>
                <c:pt idx="37">
                  <c:v>1.3972107172012329</c:v>
                </c:pt>
                <c:pt idx="38">
                  <c:v>1.8721742630004881</c:v>
                </c:pt>
                <c:pt idx="39">
                  <c:v>2.4686605930328369</c:v>
                </c:pt>
                <c:pt idx="40">
                  <c:v>3.2387106418609619</c:v>
                </c:pt>
                <c:pt idx="41">
                  <c:v>4.0491733551025391</c:v>
                </c:pt>
                <c:pt idx="42">
                  <c:v>4.3990926742553711</c:v>
                </c:pt>
                <c:pt idx="43">
                  <c:v>4.5120773315429688</c:v>
                </c:pt>
                <c:pt idx="44">
                  <c:v>2.1456887722015381</c:v>
                </c:pt>
                <c:pt idx="45">
                  <c:v>3.9544427394866939</c:v>
                </c:pt>
                <c:pt idx="46">
                  <c:v>2.0819728374481201</c:v>
                </c:pt>
                <c:pt idx="47">
                  <c:v>4.2696990966796884</c:v>
                </c:pt>
                <c:pt idx="48">
                  <c:v>2.5616335868835449</c:v>
                </c:pt>
                <c:pt idx="49">
                  <c:v>2.431562185287476</c:v>
                </c:pt>
                <c:pt idx="50">
                  <c:v>3.3726236820220952</c:v>
                </c:pt>
                <c:pt idx="51">
                  <c:v>3.566970586776733</c:v>
                </c:pt>
                <c:pt idx="52">
                  <c:v>3.9268372058868408</c:v>
                </c:pt>
                <c:pt idx="53">
                  <c:v>3.3468976020812988</c:v>
                </c:pt>
                <c:pt idx="54">
                  <c:v>3.3830652236938481</c:v>
                </c:pt>
                <c:pt idx="55">
                  <c:v>1.35030734539032</c:v>
                </c:pt>
                <c:pt idx="56">
                  <c:v>1.9966719150543211</c:v>
                </c:pt>
                <c:pt idx="57">
                  <c:v>2.1865584850311279</c:v>
                </c:pt>
                <c:pt idx="58">
                  <c:v>2.169620037078857</c:v>
                </c:pt>
                <c:pt idx="59">
                  <c:v>2.2939193248748779</c:v>
                </c:pt>
                <c:pt idx="60">
                  <c:v>4.250666618347168</c:v>
                </c:pt>
                <c:pt idx="61">
                  <c:v>4.4684805870056152</c:v>
                </c:pt>
                <c:pt idx="62">
                  <c:v>4.6631464958190918</c:v>
                </c:pt>
                <c:pt idx="63">
                  <c:v>3.2998790740966801</c:v>
                </c:pt>
                <c:pt idx="64">
                  <c:v>3.9736323356628418</c:v>
                </c:pt>
                <c:pt idx="65">
                  <c:v>4.5955724716186523</c:v>
                </c:pt>
                <c:pt idx="66">
                  <c:v>4.6951241493225098</c:v>
                </c:pt>
                <c:pt idx="67">
                  <c:v>1.8669775724411011</c:v>
                </c:pt>
                <c:pt idx="68">
                  <c:v>2.636060237884521</c:v>
                </c:pt>
                <c:pt idx="69">
                  <c:v>2.6007282733917241</c:v>
                </c:pt>
                <c:pt idx="70">
                  <c:v>4.0380821228027344</c:v>
                </c:pt>
                <c:pt idx="71">
                  <c:v>3.6407053470611568</c:v>
                </c:pt>
                <c:pt idx="72">
                  <c:v>4.2573161125183114</c:v>
                </c:pt>
                <c:pt idx="73">
                  <c:v>4.0409483909606934</c:v>
                </c:pt>
                <c:pt idx="74">
                  <c:v>3.7671189308166499</c:v>
                </c:pt>
                <c:pt idx="75">
                  <c:v>1.4577499628067021</c:v>
                </c:pt>
                <c:pt idx="76">
                  <c:v>1.8843140602111821</c:v>
                </c:pt>
                <c:pt idx="77">
                  <c:v>2.0833640098571782</c:v>
                </c:pt>
                <c:pt idx="78">
                  <c:v>2.817704439163208</c:v>
                </c:pt>
                <c:pt idx="79">
                  <c:v>3.746658086776733</c:v>
                </c:pt>
                <c:pt idx="80">
                  <c:v>4.2575993537902832</c:v>
                </c:pt>
                <c:pt idx="81">
                  <c:v>4.6110219955444336</c:v>
                </c:pt>
                <c:pt idx="82">
                  <c:v>4.5341587066650391</c:v>
                </c:pt>
                <c:pt idx="83">
                  <c:v>2.6020629405975342</c:v>
                </c:pt>
                <c:pt idx="84">
                  <c:v>3.6804783344268799</c:v>
                </c:pt>
                <c:pt idx="85">
                  <c:v>4.5291652679443359</c:v>
                </c:pt>
                <c:pt idx="86">
                  <c:v>4.6494607925415039</c:v>
                </c:pt>
                <c:pt idx="87">
                  <c:v>2.1136932373046879</c:v>
                </c:pt>
                <c:pt idx="88">
                  <c:v>2.1262743473052979</c:v>
                </c:pt>
                <c:pt idx="89">
                  <c:v>2.8305389881134029</c:v>
                </c:pt>
                <c:pt idx="90">
                  <c:v>3.697962760925293</c:v>
                </c:pt>
                <c:pt idx="91">
                  <c:v>4.0690088272094727</c:v>
                </c:pt>
                <c:pt idx="92">
                  <c:v>4.2213330268859863</c:v>
                </c:pt>
                <c:pt idx="93">
                  <c:v>4.0270810127258301</c:v>
                </c:pt>
                <c:pt idx="94">
                  <c:v>3.8365345001220699</c:v>
                </c:pt>
                <c:pt idx="95">
                  <c:v>1.376045823097229</c:v>
                </c:pt>
                <c:pt idx="96">
                  <c:v>1.9737347364425659</c:v>
                </c:pt>
                <c:pt idx="97">
                  <c:v>2.1356091499328609</c:v>
                </c:pt>
                <c:pt idx="98">
                  <c:v>2.0915136337280269</c:v>
                </c:pt>
                <c:pt idx="99">
                  <c:v>2.3126242160797119</c:v>
                </c:pt>
                <c:pt idx="100">
                  <c:v>4.0956854820251456</c:v>
                </c:pt>
                <c:pt idx="101">
                  <c:v>4.3714704513549796</c:v>
                </c:pt>
                <c:pt idx="102">
                  <c:v>4.4947690963745117</c:v>
                </c:pt>
                <c:pt idx="103">
                  <c:v>3.386494398117065</c:v>
                </c:pt>
                <c:pt idx="104">
                  <c:v>4.0486125946044922</c:v>
                </c:pt>
                <c:pt idx="105">
                  <c:v>4.424933910369873</c:v>
                </c:pt>
                <c:pt idx="106">
                  <c:v>4.5097451210021973</c:v>
                </c:pt>
                <c:pt idx="107">
                  <c:v>2.240848302841187</c:v>
                </c:pt>
                <c:pt idx="108">
                  <c:v>3.1459100246429439</c:v>
                </c:pt>
                <c:pt idx="109">
                  <c:v>2.5671558380126949</c:v>
                </c:pt>
                <c:pt idx="110">
                  <c:v>3.6464347839355469</c:v>
                </c:pt>
                <c:pt idx="111">
                  <c:v>3.7550590038299561</c:v>
                </c:pt>
                <c:pt idx="112">
                  <c:v>4.1335930824279794</c:v>
                </c:pt>
                <c:pt idx="113">
                  <c:v>3.805558443069458</c:v>
                </c:pt>
                <c:pt idx="114">
                  <c:v>3.3435230255126949</c:v>
                </c:pt>
                <c:pt idx="115">
                  <c:v>1.373522996902466</c:v>
                </c:pt>
                <c:pt idx="116">
                  <c:v>1.5636570453643801</c:v>
                </c:pt>
                <c:pt idx="117">
                  <c:v>2.105960607528687</c:v>
                </c:pt>
                <c:pt idx="118">
                  <c:v>2.8227319717407231</c:v>
                </c:pt>
                <c:pt idx="119">
                  <c:v>2.609179019927979</c:v>
                </c:pt>
                <c:pt idx="120">
                  <c:v>3.468616247177124</c:v>
                </c:pt>
                <c:pt idx="121">
                  <c:v>4.4897961616516113</c:v>
                </c:pt>
                <c:pt idx="122">
                  <c:v>4.5792407989501953</c:v>
                </c:pt>
                <c:pt idx="123">
                  <c:v>2.5855715274810791</c:v>
                </c:pt>
                <c:pt idx="124">
                  <c:v>3.426849365234375</c:v>
                </c:pt>
                <c:pt idx="125">
                  <c:v>4.1724734306335449</c:v>
                </c:pt>
                <c:pt idx="126">
                  <c:v>4.3428182601928711</c:v>
                </c:pt>
                <c:pt idx="127">
                  <c:v>2.5675337314605708</c:v>
                </c:pt>
                <c:pt idx="128">
                  <c:v>3.3920307159423828</c:v>
                </c:pt>
                <c:pt idx="129">
                  <c:v>4.1695623397827148</c:v>
                </c:pt>
                <c:pt idx="130">
                  <c:v>4.3148584365844727</c:v>
                </c:pt>
                <c:pt idx="131">
                  <c:v>3.9722976684570308</c:v>
                </c:pt>
                <c:pt idx="132">
                  <c:v>3.3616762161254878</c:v>
                </c:pt>
                <c:pt idx="133">
                  <c:v>3.4038081169128418</c:v>
                </c:pt>
                <c:pt idx="134">
                  <c:v>1.277918815612793</c:v>
                </c:pt>
                <c:pt idx="135">
                  <c:v>1.406262159347534</c:v>
                </c:pt>
                <c:pt idx="136">
                  <c:v>1.4471365213394169</c:v>
                </c:pt>
                <c:pt idx="137">
                  <c:v>1.436903834342957</c:v>
                </c:pt>
                <c:pt idx="138">
                  <c:v>2.554648637771606</c:v>
                </c:pt>
                <c:pt idx="139">
                  <c:v>3.323267936706543</c:v>
                </c:pt>
                <c:pt idx="140">
                  <c:v>3.929862499237061</c:v>
                </c:pt>
                <c:pt idx="141">
                  <c:v>4.2637448310852051</c:v>
                </c:pt>
                <c:pt idx="142">
                  <c:v>1.8645129203796389</c:v>
                </c:pt>
                <c:pt idx="143">
                  <c:v>2.4275763034820561</c:v>
                </c:pt>
                <c:pt idx="144">
                  <c:v>4.179224967956543</c:v>
                </c:pt>
                <c:pt idx="145">
                  <c:v>4.3579668998718262</c:v>
                </c:pt>
                <c:pt idx="146">
                  <c:v>2.357790470123291</c:v>
                </c:pt>
                <c:pt idx="147">
                  <c:v>3.0869145393371582</c:v>
                </c:pt>
                <c:pt idx="148">
                  <c:v>3.8036518096923828</c:v>
                </c:pt>
                <c:pt idx="149">
                  <c:v>4.2524147033691406</c:v>
                </c:pt>
                <c:pt idx="150">
                  <c:v>1.61360764503479</c:v>
                </c:pt>
                <c:pt idx="151">
                  <c:v>2.0402569770812988</c:v>
                </c:pt>
                <c:pt idx="152">
                  <c:v>3.2327926158905029</c:v>
                </c:pt>
                <c:pt idx="153">
                  <c:v>3.284837007522583</c:v>
                </c:pt>
                <c:pt idx="154">
                  <c:v>1.252866387367249</c:v>
                </c:pt>
                <c:pt idx="155">
                  <c:v>1.5043351650238039</c:v>
                </c:pt>
                <c:pt idx="156">
                  <c:v>1.606325507164001</c:v>
                </c:pt>
                <c:pt idx="157">
                  <c:v>2.1587989330291748</c:v>
                </c:pt>
                <c:pt idx="158">
                  <c:v>3.0488557815551758</c:v>
                </c:pt>
                <c:pt idx="159">
                  <c:v>3.7696268558502202</c:v>
                </c:pt>
                <c:pt idx="160">
                  <c:v>4.5630135536193848</c:v>
                </c:pt>
                <c:pt idx="161">
                  <c:v>4.7661657333374023</c:v>
                </c:pt>
                <c:pt idx="162">
                  <c:v>3.8394052982330318</c:v>
                </c:pt>
                <c:pt idx="163">
                  <c:v>4.5102729797363281</c:v>
                </c:pt>
                <c:pt idx="164">
                  <c:v>4.5680713653564453</c:v>
                </c:pt>
                <c:pt idx="165">
                  <c:v>2.990362167358398</c:v>
                </c:pt>
                <c:pt idx="166">
                  <c:v>3.625662088394165</c:v>
                </c:pt>
                <c:pt idx="167">
                  <c:v>4.1605587005615234</c:v>
                </c:pt>
                <c:pt idx="168">
                  <c:v>3.1873927116394039</c:v>
                </c:pt>
                <c:pt idx="169">
                  <c:v>3.4880001544952388</c:v>
                </c:pt>
                <c:pt idx="170">
                  <c:v>3.4900445938110352</c:v>
                </c:pt>
                <c:pt idx="171">
                  <c:v>3.0399641990661621</c:v>
                </c:pt>
                <c:pt idx="172">
                  <c:v>3.2448830604553218</c:v>
                </c:pt>
                <c:pt idx="173">
                  <c:v>1.2903516292572019</c:v>
                </c:pt>
                <c:pt idx="174">
                  <c:v>1.418524384498596</c:v>
                </c:pt>
                <c:pt idx="175">
                  <c:v>1.445696115493774</c:v>
                </c:pt>
                <c:pt idx="176">
                  <c:v>1.5620888471603389</c:v>
                </c:pt>
                <c:pt idx="177">
                  <c:v>2.414230585098267</c:v>
                </c:pt>
                <c:pt idx="178">
                  <c:v>3.404117107391357</c:v>
                </c:pt>
                <c:pt idx="179">
                  <c:v>4.1048746109008789</c:v>
                </c:pt>
                <c:pt idx="180">
                  <c:v>4.3108487129211426</c:v>
                </c:pt>
                <c:pt idx="181">
                  <c:v>1.80682909488678</c:v>
                </c:pt>
                <c:pt idx="182">
                  <c:v>2.3387899398803711</c:v>
                </c:pt>
                <c:pt idx="183">
                  <c:v>1.777290344238281</c:v>
                </c:pt>
                <c:pt idx="184">
                  <c:v>2.3211295604705811</c:v>
                </c:pt>
                <c:pt idx="185">
                  <c:v>3.74918532371521</c:v>
                </c:pt>
                <c:pt idx="186">
                  <c:v>3.913561105728149</c:v>
                </c:pt>
                <c:pt idx="187">
                  <c:v>1.7435982227325439</c:v>
                </c:pt>
                <c:pt idx="188">
                  <c:v>3.113580703735352</c:v>
                </c:pt>
                <c:pt idx="189">
                  <c:v>3.715146541595459</c:v>
                </c:pt>
                <c:pt idx="190">
                  <c:v>4.0853161811828613</c:v>
                </c:pt>
                <c:pt idx="191">
                  <c:v>3.3425979614257808</c:v>
                </c:pt>
                <c:pt idx="192">
                  <c:v>3.4950482845306401</c:v>
                </c:pt>
                <c:pt idx="193">
                  <c:v>1.36489474773407</c:v>
                </c:pt>
                <c:pt idx="194">
                  <c:v>1.663090705871582</c:v>
                </c:pt>
                <c:pt idx="195">
                  <c:v>1.802054286003113</c:v>
                </c:pt>
                <c:pt idx="196">
                  <c:v>2.2725389003753662</c:v>
                </c:pt>
                <c:pt idx="197">
                  <c:v>1.937324166297913</c:v>
                </c:pt>
                <c:pt idx="198">
                  <c:v>3.3012139797210689</c:v>
                </c:pt>
                <c:pt idx="199">
                  <c:v>3.9600710868835449</c:v>
                </c:pt>
                <c:pt idx="200">
                  <c:v>4.2349252700805664</c:v>
                </c:pt>
                <c:pt idx="201">
                  <c:v>2.472692728042603</c:v>
                </c:pt>
                <c:pt idx="202">
                  <c:v>3.3993973731994629</c:v>
                </c:pt>
                <c:pt idx="203">
                  <c:v>3.869208812713623</c:v>
                </c:pt>
                <c:pt idx="204">
                  <c:v>4.2794156074523926</c:v>
                </c:pt>
                <c:pt idx="205">
                  <c:v>1.79544997215271</c:v>
                </c:pt>
                <c:pt idx="206">
                  <c:v>1.710329055786133</c:v>
                </c:pt>
                <c:pt idx="207">
                  <c:v>3.6067883968353271</c:v>
                </c:pt>
                <c:pt idx="208">
                  <c:v>2.131719589233398</c:v>
                </c:pt>
                <c:pt idx="209">
                  <c:v>3.5895378589630131</c:v>
                </c:pt>
                <c:pt idx="210">
                  <c:v>3.3152449131011958</c:v>
                </c:pt>
                <c:pt idx="211">
                  <c:v>3.4637138843536381</c:v>
                </c:pt>
                <c:pt idx="212">
                  <c:v>1.2638868093490601</c:v>
                </c:pt>
                <c:pt idx="213">
                  <c:v>1.3150714635848999</c:v>
                </c:pt>
                <c:pt idx="214">
                  <c:v>1.6129220724105831</c:v>
                </c:pt>
                <c:pt idx="215">
                  <c:v>2.1122786998748779</c:v>
                </c:pt>
                <c:pt idx="216">
                  <c:v>2.8860492706298828</c:v>
                </c:pt>
                <c:pt idx="217">
                  <c:v>3.7481071949005131</c:v>
                </c:pt>
                <c:pt idx="218">
                  <c:v>4.3710217475891113</c:v>
                </c:pt>
                <c:pt idx="219">
                  <c:v>4.697293758392334</c:v>
                </c:pt>
                <c:pt idx="220">
                  <c:v>2.8839530944824219</c:v>
                </c:pt>
                <c:pt idx="221">
                  <c:v>3.746559858322144</c:v>
                </c:pt>
                <c:pt idx="222">
                  <c:v>4.1088042259216309</c:v>
                </c:pt>
                <c:pt idx="223">
                  <c:v>4.5006918907165527</c:v>
                </c:pt>
                <c:pt idx="224">
                  <c:v>4.5907168388366699</c:v>
                </c:pt>
                <c:pt idx="225">
                  <c:v>3.9542994499206539</c:v>
                </c:pt>
                <c:pt idx="226">
                  <c:v>4.2653946876525879</c:v>
                </c:pt>
                <c:pt idx="227">
                  <c:v>2.8394956588745122</c:v>
                </c:pt>
                <c:pt idx="228">
                  <c:v>4.5448827743530273</c:v>
                </c:pt>
                <c:pt idx="229">
                  <c:v>3.4398455619812012</c:v>
                </c:pt>
                <c:pt idx="230">
                  <c:v>3.5523500442504878</c:v>
                </c:pt>
                <c:pt idx="231">
                  <c:v>3.7895667552947998</c:v>
                </c:pt>
                <c:pt idx="232">
                  <c:v>1.3830441236495969</c:v>
                </c:pt>
                <c:pt idx="233">
                  <c:v>1.5131187438964839</c:v>
                </c:pt>
                <c:pt idx="234">
                  <c:v>1.97611391544342</c:v>
                </c:pt>
                <c:pt idx="235">
                  <c:v>2.599250316619873</c:v>
                </c:pt>
                <c:pt idx="236">
                  <c:v>3.610506534576416</c:v>
                </c:pt>
                <c:pt idx="237">
                  <c:v>3.8981518745422359</c:v>
                </c:pt>
                <c:pt idx="238">
                  <c:v>4.3163108825683594</c:v>
                </c:pt>
                <c:pt idx="239">
                  <c:v>4.6264133453369141</c:v>
                </c:pt>
                <c:pt idx="240">
                  <c:v>2.7005589008331299</c:v>
                </c:pt>
                <c:pt idx="241">
                  <c:v>3.7066268920898442</c:v>
                </c:pt>
                <c:pt idx="242">
                  <c:v>1.9342426061630249</c:v>
                </c:pt>
                <c:pt idx="243">
                  <c:v>3.6351139545440669</c:v>
                </c:pt>
                <c:pt idx="244">
                  <c:v>3.9520611763000488</c:v>
                </c:pt>
                <c:pt idx="245">
                  <c:v>1.851745009422302</c:v>
                </c:pt>
                <c:pt idx="246">
                  <c:v>2.215052604675293</c:v>
                </c:pt>
                <c:pt idx="247">
                  <c:v>2.3789899349212651</c:v>
                </c:pt>
                <c:pt idx="248">
                  <c:v>3.421769380569458</c:v>
                </c:pt>
                <c:pt idx="249">
                  <c:v>3.606705904006958</c:v>
                </c:pt>
                <c:pt idx="250">
                  <c:v>1.9626035690307619</c:v>
                </c:pt>
                <c:pt idx="251">
                  <c:v>1.378989100456238</c:v>
                </c:pt>
                <c:pt idx="252">
                  <c:v>1.6529533863067629</c:v>
                </c:pt>
                <c:pt idx="253">
                  <c:v>1.7912054061889651</c:v>
                </c:pt>
                <c:pt idx="254">
                  <c:v>2.2906370162963872</c:v>
                </c:pt>
                <c:pt idx="255">
                  <c:v>2.181627750396729</c:v>
                </c:pt>
                <c:pt idx="256">
                  <c:v>3.0514941215515141</c:v>
                </c:pt>
                <c:pt idx="257">
                  <c:v>3.5551192760467529</c:v>
                </c:pt>
                <c:pt idx="258">
                  <c:v>3.7305514812469478</c:v>
                </c:pt>
                <c:pt idx="259">
                  <c:v>1.8939106464385991</c:v>
                </c:pt>
                <c:pt idx="260">
                  <c:v>2.2852408885955811</c:v>
                </c:pt>
                <c:pt idx="261">
                  <c:v>3.0901093482971191</c:v>
                </c:pt>
                <c:pt idx="262">
                  <c:v>3.3285632133483891</c:v>
                </c:pt>
                <c:pt idx="263">
                  <c:v>1.7976729869842529</c:v>
                </c:pt>
                <c:pt idx="264">
                  <c:v>1.984455943107605</c:v>
                </c:pt>
                <c:pt idx="265">
                  <c:v>3.0111300945281978</c:v>
                </c:pt>
                <c:pt idx="266">
                  <c:v>2.6999721527099609</c:v>
                </c:pt>
                <c:pt idx="267">
                  <c:v>2.609153270721436</c:v>
                </c:pt>
                <c:pt idx="268">
                  <c:v>2.373916387557983</c:v>
                </c:pt>
                <c:pt idx="269">
                  <c:v>2.4403998851776119</c:v>
                </c:pt>
                <c:pt idx="270">
                  <c:v>1.2313475608825679</c:v>
                </c:pt>
                <c:pt idx="271">
                  <c:v>1.2423722743988039</c:v>
                </c:pt>
                <c:pt idx="272">
                  <c:v>1.35661792755127</c:v>
                </c:pt>
                <c:pt idx="273">
                  <c:v>1.3465831279754641</c:v>
                </c:pt>
                <c:pt idx="274">
                  <c:v>1.984020948410034</c:v>
                </c:pt>
                <c:pt idx="275">
                  <c:v>3.501083612442017</c:v>
                </c:pt>
                <c:pt idx="276">
                  <c:v>4.0754184722900391</c:v>
                </c:pt>
                <c:pt idx="277">
                  <c:v>4.3875303268432617</c:v>
                </c:pt>
                <c:pt idx="278">
                  <c:v>1.8657257556915281</c:v>
                </c:pt>
                <c:pt idx="279">
                  <c:v>2.5650627613067631</c:v>
                </c:pt>
                <c:pt idx="280">
                  <c:v>3.9777624607086182</c:v>
                </c:pt>
                <c:pt idx="281">
                  <c:v>4.4283299446105957</c:v>
                </c:pt>
                <c:pt idx="282">
                  <c:v>2.4516639709472661</c:v>
                </c:pt>
                <c:pt idx="283">
                  <c:v>3.276516437530518</c:v>
                </c:pt>
                <c:pt idx="284">
                  <c:v>1.657897353172302</c:v>
                </c:pt>
                <c:pt idx="285">
                  <c:v>3.09355616569519</c:v>
                </c:pt>
                <c:pt idx="286">
                  <c:v>3.727005243301392</c:v>
                </c:pt>
                <c:pt idx="287">
                  <c:v>3.439306259155273</c:v>
                </c:pt>
                <c:pt idx="288">
                  <c:v>3.6108987331390381</c:v>
                </c:pt>
                <c:pt idx="289">
                  <c:v>1.299935102462769</c:v>
                </c:pt>
                <c:pt idx="290">
                  <c:v>1.507718563079834</c:v>
                </c:pt>
                <c:pt idx="291">
                  <c:v>1.6141314506530759</c:v>
                </c:pt>
                <c:pt idx="292">
                  <c:v>2.196621179580688</c:v>
                </c:pt>
                <c:pt idx="293">
                  <c:v>2.3347797393798828</c:v>
                </c:pt>
                <c:pt idx="294">
                  <c:v>3.785480260848999</c:v>
                </c:pt>
                <c:pt idx="295">
                  <c:v>4.4844260215759277</c:v>
                </c:pt>
                <c:pt idx="296">
                  <c:v>4.6447882652282706</c:v>
                </c:pt>
                <c:pt idx="297">
                  <c:v>2.314061164855957</c:v>
                </c:pt>
                <c:pt idx="298">
                  <c:v>3.3609740734100342</c:v>
                </c:pt>
                <c:pt idx="299">
                  <c:v>2.3912723064422612</c:v>
                </c:pt>
                <c:pt idx="300">
                  <c:v>3.9287862777709961</c:v>
                </c:pt>
                <c:pt idx="301">
                  <c:v>4.1189193725585938</c:v>
                </c:pt>
                <c:pt idx="302">
                  <c:v>4.4081921577453613</c:v>
                </c:pt>
                <c:pt idx="303">
                  <c:v>3.096821784973145</c:v>
                </c:pt>
                <c:pt idx="304">
                  <c:v>3.6909141540527339</c:v>
                </c:pt>
                <c:pt idx="305">
                  <c:v>4.108820915222168</c:v>
                </c:pt>
                <c:pt idx="306">
                  <c:v>3.9059748649597168</c:v>
                </c:pt>
                <c:pt idx="307">
                  <c:v>3.427693128585815</c:v>
                </c:pt>
                <c:pt idx="308">
                  <c:v>1.2636041641235349</c:v>
                </c:pt>
                <c:pt idx="309">
                  <c:v>1.5328236818313601</c:v>
                </c:pt>
                <c:pt idx="310">
                  <c:v>1.6181051731109619</c:v>
                </c:pt>
                <c:pt idx="311">
                  <c:v>2.286066055297852</c:v>
                </c:pt>
                <c:pt idx="312">
                  <c:v>2.3461940288543701</c:v>
                </c:pt>
                <c:pt idx="313">
                  <c:v>3.615841388702393</c:v>
                </c:pt>
                <c:pt idx="314">
                  <c:v>3.82979416847229</c:v>
                </c:pt>
                <c:pt idx="315">
                  <c:v>4.2492480278015137</c:v>
                </c:pt>
                <c:pt idx="316">
                  <c:v>1.8621599674224849</c:v>
                </c:pt>
                <c:pt idx="317">
                  <c:v>1.730161666870117</c:v>
                </c:pt>
                <c:pt idx="318">
                  <c:v>2.1648795604705811</c:v>
                </c:pt>
                <c:pt idx="319">
                  <c:v>3.3683240413665771</c:v>
                </c:pt>
                <c:pt idx="320">
                  <c:v>1.711634755134583</c:v>
                </c:pt>
                <c:pt idx="321">
                  <c:v>3.0517609119415279</c:v>
                </c:pt>
                <c:pt idx="322">
                  <c:v>2.5397894382476811</c:v>
                </c:pt>
                <c:pt idx="323">
                  <c:v>2.872062206268311</c:v>
                </c:pt>
                <c:pt idx="324">
                  <c:v>2.3808374404907231</c:v>
                </c:pt>
                <c:pt idx="325">
                  <c:v>2.4497792720794682</c:v>
                </c:pt>
                <c:pt idx="326">
                  <c:v>2.2387111186981201</c:v>
                </c:pt>
                <c:pt idx="327">
                  <c:v>1.245681524276733</c:v>
                </c:pt>
                <c:pt idx="328">
                  <c:v>1.349533796310425</c:v>
                </c:pt>
                <c:pt idx="329">
                  <c:v>1.3810455799102781</c:v>
                </c:pt>
                <c:pt idx="330">
                  <c:v>1.6110613346099849</c:v>
                </c:pt>
                <c:pt idx="331">
                  <c:v>4.5054788589477539</c:v>
                </c:pt>
                <c:pt idx="332">
                  <c:v>3.6960878372192378</c:v>
                </c:pt>
                <c:pt idx="333">
                  <c:v>4.4603219032287598</c:v>
                </c:pt>
                <c:pt idx="334">
                  <c:v>1.5599538087844851</c:v>
                </c:pt>
                <c:pt idx="335">
                  <c:v>4.4656586647033691</c:v>
                </c:pt>
                <c:pt idx="336">
                  <c:v>4.0117440223693848</c:v>
                </c:pt>
                <c:pt idx="337">
                  <c:v>1.173505544662476</c:v>
                </c:pt>
                <c:pt idx="338">
                  <c:v>4.3574094772338867</c:v>
                </c:pt>
                <c:pt idx="339">
                  <c:v>2.7844753265380859</c:v>
                </c:pt>
                <c:pt idx="340">
                  <c:v>1.405630469322205</c:v>
                </c:pt>
                <c:pt idx="341">
                  <c:v>3.9880623817443852</c:v>
                </c:pt>
                <c:pt idx="342">
                  <c:v>3.832802534103394</c:v>
                </c:pt>
                <c:pt idx="343">
                  <c:v>1.9099153280258181</c:v>
                </c:pt>
                <c:pt idx="344">
                  <c:v>2.784449577331543</c:v>
                </c:pt>
                <c:pt idx="345">
                  <c:v>1.941256999969482</c:v>
                </c:pt>
                <c:pt idx="346">
                  <c:v>3.9793016910552979</c:v>
                </c:pt>
                <c:pt idx="347">
                  <c:v>2.987392663955688</c:v>
                </c:pt>
                <c:pt idx="348">
                  <c:v>1.487436056137085</c:v>
                </c:pt>
                <c:pt idx="349">
                  <c:v>4.1456294059753418</c:v>
                </c:pt>
                <c:pt idx="350">
                  <c:v>2.2742199897766109</c:v>
                </c:pt>
                <c:pt idx="351">
                  <c:v>4.3817324638366699</c:v>
                </c:pt>
                <c:pt idx="352">
                  <c:v>3.2023286819458008</c:v>
                </c:pt>
                <c:pt idx="353">
                  <c:v>3.9077351093292241</c:v>
                </c:pt>
                <c:pt idx="354">
                  <c:v>1.7002296447753911</c:v>
                </c:pt>
                <c:pt idx="355">
                  <c:v>4.2810626029968262</c:v>
                </c:pt>
                <c:pt idx="356">
                  <c:v>1.3501962423324581</c:v>
                </c:pt>
                <c:pt idx="357">
                  <c:v>4.4111018180847168</c:v>
                </c:pt>
                <c:pt idx="358">
                  <c:v>1.475436210632324</c:v>
                </c:pt>
                <c:pt idx="359">
                  <c:v>4.4237885475158691</c:v>
                </c:pt>
                <c:pt idx="360">
                  <c:v>2.1702430248260498</c:v>
                </c:pt>
                <c:pt idx="361">
                  <c:v>4.3435649871826172</c:v>
                </c:pt>
                <c:pt idx="362">
                  <c:v>3.3984980583190918</c:v>
                </c:pt>
                <c:pt idx="363">
                  <c:v>4.454310417175293</c:v>
                </c:pt>
                <c:pt idx="364">
                  <c:v>3.8933479785919189</c:v>
                </c:pt>
                <c:pt idx="365">
                  <c:v>3.9454703330993648</c:v>
                </c:pt>
                <c:pt idx="366">
                  <c:v>2.5115997791290279</c:v>
                </c:pt>
                <c:pt idx="367">
                  <c:v>4.2527909278869629</c:v>
                </c:pt>
                <c:pt idx="368">
                  <c:v>2.69739818572998</c:v>
                </c:pt>
                <c:pt idx="369">
                  <c:v>4.5318131446838379</c:v>
                </c:pt>
                <c:pt idx="370">
                  <c:v>3.8100748062133789</c:v>
                </c:pt>
                <c:pt idx="371">
                  <c:v>3.056778192520142</c:v>
                </c:pt>
                <c:pt idx="372">
                  <c:v>4.8572735786437988</c:v>
                </c:pt>
                <c:pt idx="373">
                  <c:v>3.7800204753875728</c:v>
                </c:pt>
                <c:pt idx="374">
                  <c:v>2.5059361457824711</c:v>
                </c:pt>
                <c:pt idx="375">
                  <c:v>4.2704143524169922</c:v>
                </c:pt>
                <c:pt idx="376">
                  <c:v>3.684730052947998</c:v>
                </c:pt>
                <c:pt idx="377">
                  <c:v>3.7918918132781978</c:v>
                </c:pt>
                <c:pt idx="378">
                  <c:v>3.0679810047149658</c:v>
                </c:pt>
                <c:pt idx="379">
                  <c:v>4.4693374633789063</c:v>
                </c:pt>
                <c:pt idx="380">
                  <c:v>3.2814404964447021</c:v>
                </c:pt>
                <c:pt idx="381">
                  <c:v>4.4184155464172363</c:v>
                </c:pt>
                <c:pt idx="382">
                  <c:v>3.5112161636352539</c:v>
                </c:pt>
                <c:pt idx="383">
                  <c:v>4.4810318946838379</c:v>
                </c:pt>
                <c:pt idx="384">
                  <c:v>3.2430489063262939</c:v>
                </c:pt>
                <c:pt idx="385">
                  <c:v>4.7163252830505371</c:v>
                </c:pt>
                <c:pt idx="386">
                  <c:v>3.758255243301392</c:v>
                </c:pt>
                <c:pt idx="387">
                  <c:v>1.7018847465515139</c:v>
                </c:pt>
                <c:pt idx="388">
                  <c:v>4.5688467025756836</c:v>
                </c:pt>
                <c:pt idx="389">
                  <c:v>1.5629429817199709</c:v>
                </c:pt>
                <c:pt idx="390">
                  <c:v>4.2498059272766113</c:v>
                </c:pt>
                <c:pt idx="391">
                  <c:v>4.2779650688171387</c:v>
                </c:pt>
                <c:pt idx="392">
                  <c:v>1.926515460014343</c:v>
                </c:pt>
                <c:pt idx="393">
                  <c:v>4.3787140846252441</c:v>
                </c:pt>
                <c:pt idx="394">
                  <c:v>3.9036886692047119</c:v>
                </c:pt>
                <c:pt idx="395">
                  <c:v>4.1230545043945313</c:v>
                </c:pt>
                <c:pt idx="396">
                  <c:v>3.79230809211731</c:v>
                </c:pt>
                <c:pt idx="397">
                  <c:v>4.3334288597106934</c:v>
                </c:pt>
                <c:pt idx="398">
                  <c:v>2.980761051177979</c:v>
                </c:pt>
                <c:pt idx="399">
                  <c:v>1.967409014701843</c:v>
                </c:pt>
                <c:pt idx="400">
                  <c:v>3.34247875213623</c:v>
                </c:pt>
                <c:pt idx="401">
                  <c:v>2.8824126720428471</c:v>
                </c:pt>
                <c:pt idx="402">
                  <c:v>2.056155920028687</c:v>
                </c:pt>
                <c:pt idx="403">
                  <c:v>4.2979059219360352</c:v>
                </c:pt>
                <c:pt idx="404">
                  <c:v>3.975058794021606</c:v>
                </c:pt>
                <c:pt idx="405">
                  <c:v>1.8952779769897461</c:v>
                </c:pt>
                <c:pt idx="406">
                  <c:v>4.2811198234558114</c:v>
                </c:pt>
                <c:pt idx="407">
                  <c:v>3.996063232421875</c:v>
                </c:pt>
                <c:pt idx="408">
                  <c:v>3.1651113033294682</c:v>
                </c:pt>
                <c:pt idx="409">
                  <c:v>3.3698136806488042</c:v>
                </c:pt>
                <c:pt idx="410">
                  <c:v>2.4807038307189941</c:v>
                </c:pt>
                <c:pt idx="411">
                  <c:v>4.4241652488708496</c:v>
                </c:pt>
                <c:pt idx="412">
                  <c:v>3.6394250392913818</c:v>
                </c:pt>
                <c:pt idx="413">
                  <c:v>1.4618620872497561</c:v>
                </c:pt>
                <c:pt idx="414">
                  <c:v>4.2007136344909668</c:v>
                </c:pt>
                <c:pt idx="415">
                  <c:v>1.9569826126098631</c:v>
                </c:pt>
                <c:pt idx="416">
                  <c:v>3.2196946144103999</c:v>
                </c:pt>
                <c:pt idx="417">
                  <c:v>1.9969745874404909</c:v>
                </c:pt>
                <c:pt idx="418">
                  <c:v>4.2308297157287598</c:v>
                </c:pt>
                <c:pt idx="419">
                  <c:v>3.4925129413604741</c:v>
                </c:pt>
                <c:pt idx="420">
                  <c:v>2.8846392631530762</c:v>
                </c:pt>
                <c:pt idx="421">
                  <c:v>4.1290545463562012</c:v>
                </c:pt>
                <c:pt idx="422">
                  <c:v>3.646461009979248</c:v>
                </c:pt>
                <c:pt idx="423">
                  <c:v>1.7036658525466919</c:v>
                </c:pt>
                <c:pt idx="424">
                  <c:v>4.7196712493896484</c:v>
                </c:pt>
                <c:pt idx="425">
                  <c:v>4.5297627449035636</c:v>
                </c:pt>
                <c:pt idx="426">
                  <c:v>3.524249792098999</c:v>
                </c:pt>
                <c:pt idx="427">
                  <c:v>4.6940932273864746</c:v>
                </c:pt>
                <c:pt idx="428">
                  <c:v>3.3206362724304199</c:v>
                </c:pt>
                <c:pt idx="429">
                  <c:v>4.6716585159301758</c:v>
                </c:pt>
                <c:pt idx="430">
                  <c:v>4.3918623924255371</c:v>
                </c:pt>
                <c:pt idx="431">
                  <c:v>4.638124942779541</c:v>
                </c:pt>
                <c:pt idx="432">
                  <c:v>4.3099379539489746</c:v>
                </c:pt>
                <c:pt idx="433">
                  <c:v>2.6065106391906738</c:v>
                </c:pt>
                <c:pt idx="434">
                  <c:v>4.5517592430114746</c:v>
                </c:pt>
                <c:pt idx="435">
                  <c:v>2.9116072654724121</c:v>
                </c:pt>
                <c:pt idx="436">
                  <c:v>3.9284143447875981</c:v>
                </c:pt>
                <c:pt idx="437">
                  <c:v>3.6944906711578369</c:v>
                </c:pt>
                <c:pt idx="438">
                  <c:v>4.0503392219543457</c:v>
                </c:pt>
                <c:pt idx="439">
                  <c:v>3.24766993522644</c:v>
                </c:pt>
                <c:pt idx="440">
                  <c:v>3.8799529075622559</c:v>
                </c:pt>
                <c:pt idx="441">
                  <c:v>2.9614217281341548</c:v>
                </c:pt>
                <c:pt idx="442">
                  <c:v>4.5831336975097656</c:v>
                </c:pt>
                <c:pt idx="443">
                  <c:v>4.0203948020935059</c:v>
                </c:pt>
                <c:pt idx="444">
                  <c:v>1.930749773979187</c:v>
                </c:pt>
                <c:pt idx="445">
                  <c:v>4.579442024230957</c:v>
                </c:pt>
                <c:pt idx="446">
                  <c:v>2.7840440273284912</c:v>
                </c:pt>
                <c:pt idx="447">
                  <c:v>4.5238752365112296</c:v>
                </c:pt>
                <c:pt idx="448">
                  <c:v>3.4395556449890141</c:v>
                </c:pt>
                <c:pt idx="449">
                  <c:v>1.327999949455261</c:v>
                </c:pt>
                <c:pt idx="450">
                  <c:v>4.1240205764770508</c:v>
                </c:pt>
                <c:pt idx="451">
                  <c:v>2.3356869220733638</c:v>
                </c:pt>
                <c:pt idx="452">
                  <c:v>4.0578341484069824</c:v>
                </c:pt>
                <c:pt idx="453">
                  <c:v>2.550639390945435</c:v>
                </c:pt>
                <c:pt idx="454">
                  <c:v>4.3272714614868164</c:v>
                </c:pt>
                <c:pt idx="455">
                  <c:v>3.7160100936889648</c:v>
                </c:pt>
                <c:pt idx="456">
                  <c:v>4.2070655822753906</c:v>
                </c:pt>
                <c:pt idx="457">
                  <c:v>3.4955930709838872</c:v>
                </c:pt>
                <c:pt idx="458">
                  <c:v>3.7859728336334229</c:v>
                </c:pt>
                <c:pt idx="459">
                  <c:v>2.820021390914917</c:v>
                </c:pt>
                <c:pt idx="460">
                  <c:v>4.3446550369262704</c:v>
                </c:pt>
                <c:pt idx="461">
                  <c:v>1.666812419891357</c:v>
                </c:pt>
                <c:pt idx="462">
                  <c:v>1.279433131217957</c:v>
                </c:pt>
                <c:pt idx="463">
                  <c:v>4.3024387359619141</c:v>
                </c:pt>
                <c:pt idx="464">
                  <c:v>2.050012350082397</c:v>
                </c:pt>
                <c:pt idx="465">
                  <c:v>4.3365721702575684</c:v>
                </c:pt>
                <c:pt idx="466">
                  <c:v>2.2948868274688721</c:v>
                </c:pt>
                <c:pt idx="467">
                  <c:v>1.1439973115921021</c:v>
                </c:pt>
                <c:pt idx="468">
                  <c:v>4.4449019432067871</c:v>
                </c:pt>
                <c:pt idx="469">
                  <c:v>1.2296077013015749</c:v>
                </c:pt>
                <c:pt idx="470">
                  <c:v>2.7798671722412109</c:v>
                </c:pt>
                <c:pt idx="471">
                  <c:v>2.2415158748626709</c:v>
                </c:pt>
                <c:pt idx="472">
                  <c:v>3.8091332912445068</c:v>
                </c:pt>
                <c:pt idx="473">
                  <c:v>2.2595174312591548</c:v>
                </c:pt>
                <c:pt idx="474">
                  <c:v>1.70615553855896</c:v>
                </c:pt>
                <c:pt idx="475">
                  <c:v>4.5087614059448242</c:v>
                </c:pt>
                <c:pt idx="476">
                  <c:v>1.3427184820175171</c:v>
                </c:pt>
                <c:pt idx="477">
                  <c:v>2.3722076416015621</c:v>
                </c:pt>
                <c:pt idx="478">
                  <c:v>1.3784534931182859</c:v>
                </c:pt>
                <c:pt idx="479">
                  <c:v>4.3524837493896484</c:v>
                </c:pt>
                <c:pt idx="480">
                  <c:v>3.989489078521729</c:v>
                </c:pt>
                <c:pt idx="481">
                  <c:v>1.390812873840332</c:v>
                </c:pt>
                <c:pt idx="482">
                  <c:v>4.4905929565429688</c:v>
                </c:pt>
                <c:pt idx="483">
                  <c:v>2.008666038513184</c:v>
                </c:pt>
                <c:pt idx="484">
                  <c:v>1.4137668609619141</c:v>
                </c:pt>
                <c:pt idx="485">
                  <c:v>3.500397920608521</c:v>
                </c:pt>
                <c:pt idx="486">
                  <c:v>1.515186071395874</c:v>
                </c:pt>
                <c:pt idx="487">
                  <c:v>1.205107450485229</c:v>
                </c:pt>
                <c:pt idx="488">
                  <c:v>4.4882183074951172</c:v>
                </c:pt>
                <c:pt idx="489">
                  <c:v>2.9858145713806148</c:v>
                </c:pt>
                <c:pt idx="490">
                  <c:v>1.21272337436676</c:v>
                </c:pt>
                <c:pt idx="491">
                  <c:v>4.376734733581543</c:v>
                </c:pt>
                <c:pt idx="492">
                  <c:v>1.4293394088745119</c:v>
                </c:pt>
                <c:pt idx="493">
                  <c:v>3.2427229881286621</c:v>
                </c:pt>
                <c:pt idx="494">
                  <c:v>1.482924103736877</c:v>
                </c:pt>
                <c:pt idx="495">
                  <c:v>3.7767355442047119</c:v>
                </c:pt>
                <c:pt idx="496">
                  <c:v>1.6247450113296511</c:v>
                </c:pt>
                <c:pt idx="497">
                  <c:v>4.4500551223754883</c:v>
                </c:pt>
                <c:pt idx="498">
                  <c:v>3.8515889644622798</c:v>
                </c:pt>
                <c:pt idx="499">
                  <c:v>2.3710229396820068</c:v>
                </c:pt>
                <c:pt idx="500">
                  <c:v>4.4624738693237296</c:v>
                </c:pt>
                <c:pt idx="501">
                  <c:v>2.771537065505981</c:v>
                </c:pt>
                <c:pt idx="502">
                  <c:v>4.252230167388916</c:v>
                </c:pt>
                <c:pt idx="503">
                  <c:v>3.889710664749146</c:v>
                </c:pt>
                <c:pt idx="504">
                  <c:v>2.966324090957642</c:v>
                </c:pt>
                <c:pt idx="505">
                  <c:v>4.7483115196228027</c:v>
                </c:pt>
                <c:pt idx="506">
                  <c:v>3.6722431182861328</c:v>
                </c:pt>
                <c:pt idx="507">
                  <c:v>2.0409433841705318</c:v>
                </c:pt>
                <c:pt idx="508">
                  <c:v>3.9891788959503169</c:v>
                </c:pt>
                <c:pt idx="509">
                  <c:v>2.8729512691497798</c:v>
                </c:pt>
                <c:pt idx="510">
                  <c:v>3.9965982437133789</c:v>
                </c:pt>
                <c:pt idx="511">
                  <c:v>2.2779569625854492</c:v>
                </c:pt>
                <c:pt idx="512">
                  <c:v>4.1890373229980469</c:v>
                </c:pt>
                <c:pt idx="513">
                  <c:v>3.5872645378112789</c:v>
                </c:pt>
                <c:pt idx="514">
                  <c:v>4.2313876152038574</c:v>
                </c:pt>
                <c:pt idx="515">
                  <c:v>3.5287942886352539</c:v>
                </c:pt>
                <c:pt idx="516">
                  <c:v>4.4365386962890616</c:v>
                </c:pt>
                <c:pt idx="517">
                  <c:v>3.8993275165557861</c:v>
                </c:pt>
                <c:pt idx="518">
                  <c:v>2.4688060283660889</c:v>
                </c:pt>
                <c:pt idx="519">
                  <c:v>3.846590518951416</c:v>
                </c:pt>
                <c:pt idx="520">
                  <c:v>3.2988729476928711</c:v>
                </c:pt>
                <c:pt idx="521">
                  <c:v>4.1283302307128906</c:v>
                </c:pt>
                <c:pt idx="522">
                  <c:v>2.0471892356872559</c:v>
                </c:pt>
                <c:pt idx="523">
                  <c:v>4.2729916572570801</c:v>
                </c:pt>
                <c:pt idx="524">
                  <c:v>2.4876821041107182</c:v>
                </c:pt>
                <c:pt idx="525">
                  <c:v>1.2450529336929319</c:v>
                </c:pt>
                <c:pt idx="526">
                  <c:v>4.0534844398498544</c:v>
                </c:pt>
                <c:pt idx="527">
                  <c:v>1.5596576929092409</c:v>
                </c:pt>
                <c:pt idx="528">
                  <c:v>3.8590736389160161</c:v>
                </c:pt>
                <c:pt idx="529">
                  <c:v>1.6641412973403931</c:v>
                </c:pt>
                <c:pt idx="530">
                  <c:v>3.744085311889648</c:v>
                </c:pt>
                <c:pt idx="531">
                  <c:v>2.3447446823120122</c:v>
                </c:pt>
                <c:pt idx="532">
                  <c:v>4.3161706924438477</c:v>
                </c:pt>
                <c:pt idx="533">
                  <c:v>2.793159008026123</c:v>
                </c:pt>
                <c:pt idx="534">
                  <c:v>2.8048281669616699</c:v>
                </c:pt>
                <c:pt idx="535">
                  <c:v>1.6868464946746831</c:v>
                </c:pt>
                <c:pt idx="536">
                  <c:v>4.0855197906494141</c:v>
                </c:pt>
                <c:pt idx="537">
                  <c:v>2.6024405956268311</c:v>
                </c:pt>
                <c:pt idx="538">
                  <c:v>1.410993099212646</c:v>
                </c:pt>
                <c:pt idx="539">
                  <c:v>4.3102121353149414</c:v>
                </c:pt>
                <c:pt idx="540">
                  <c:v>3.4348325729370122</c:v>
                </c:pt>
                <c:pt idx="541">
                  <c:v>1.4916311502456669</c:v>
                </c:pt>
                <c:pt idx="542">
                  <c:v>4.2826547622680664</c:v>
                </c:pt>
                <c:pt idx="543">
                  <c:v>2.8214998245239258</c:v>
                </c:pt>
                <c:pt idx="544">
                  <c:v>1.2253847122192381</c:v>
                </c:pt>
                <c:pt idx="545">
                  <c:v>4.4180259704589844</c:v>
                </c:pt>
                <c:pt idx="546">
                  <c:v>1.437777161598206</c:v>
                </c:pt>
                <c:pt idx="547">
                  <c:v>1.2489855289459231</c:v>
                </c:pt>
                <c:pt idx="548">
                  <c:v>3.7581198215484619</c:v>
                </c:pt>
                <c:pt idx="549">
                  <c:v>3.9667046070098881</c:v>
                </c:pt>
                <c:pt idx="550">
                  <c:v>2.1625270843505859</c:v>
                </c:pt>
                <c:pt idx="551">
                  <c:v>4.3178186416625977</c:v>
                </c:pt>
                <c:pt idx="552">
                  <c:v>3.2740054130554199</c:v>
                </c:pt>
                <c:pt idx="553">
                  <c:v>1.693846464157104</c:v>
                </c:pt>
                <c:pt idx="554">
                  <c:v>4.1649994850158691</c:v>
                </c:pt>
                <c:pt idx="555">
                  <c:v>3.3972563743591309</c:v>
                </c:pt>
                <c:pt idx="556">
                  <c:v>2.0864131450653081</c:v>
                </c:pt>
                <c:pt idx="557">
                  <c:v>3.9134078025817871</c:v>
                </c:pt>
                <c:pt idx="558">
                  <c:v>3.0591385364532471</c:v>
                </c:pt>
                <c:pt idx="559">
                  <c:v>1.248516440391541</c:v>
                </c:pt>
                <c:pt idx="560">
                  <c:v>1.836562037467957</c:v>
                </c:pt>
                <c:pt idx="561">
                  <c:v>1.3102372884750371</c:v>
                </c:pt>
                <c:pt idx="562">
                  <c:v>2.2315163612365718</c:v>
                </c:pt>
                <c:pt idx="563">
                  <c:v>1.4618287086486821</c:v>
                </c:pt>
                <c:pt idx="564">
                  <c:v>1.187094449996948</c:v>
                </c:pt>
                <c:pt idx="565">
                  <c:v>3.0291099548339839</c:v>
                </c:pt>
                <c:pt idx="566">
                  <c:v>1.693600535392761</c:v>
                </c:pt>
                <c:pt idx="567">
                  <c:v>1.2213436365127559</c:v>
                </c:pt>
                <c:pt idx="568">
                  <c:v>2.4403975009918208</c:v>
                </c:pt>
                <c:pt idx="569">
                  <c:v>1.394002318382263</c:v>
                </c:pt>
                <c:pt idx="570">
                  <c:v>2.876857995986938</c:v>
                </c:pt>
                <c:pt idx="571">
                  <c:v>2.3745172023773189</c:v>
                </c:pt>
                <c:pt idx="572">
                  <c:v>2.766240119934082</c:v>
                </c:pt>
                <c:pt idx="573">
                  <c:v>1.2719987630844121</c:v>
                </c:pt>
                <c:pt idx="574">
                  <c:v>3.3483428955078121</c:v>
                </c:pt>
                <c:pt idx="575">
                  <c:v>1.302311062812805</c:v>
                </c:pt>
                <c:pt idx="576">
                  <c:v>4.1073565483093262</c:v>
                </c:pt>
                <c:pt idx="577">
                  <c:v>1.7679204940795901</c:v>
                </c:pt>
                <c:pt idx="578">
                  <c:v>1.277814507484436</c:v>
                </c:pt>
                <c:pt idx="579">
                  <c:v>4.0073895454406738</c:v>
                </c:pt>
                <c:pt idx="580">
                  <c:v>1.720045804977417</c:v>
                </c:pt>
                <c:pt idx="581">
                  <c:v>2.3840689659118648</c:v>
                </c:pt>
                <c:pt idx="582">
                  <c:v>1.208418607711792</c:v>
                </c:pt>
                <c:pt idx="583">
                  <c:v>4.0703282356262207</c:v>
                </c:pt>
                <c:pt idx="584">
                  <c:v>2.1673188209533691</c:v>
                </c:pt>
                <c:pt idx="585">
                  <c:v>1.263433694839478</c:v>
                </c:pt>
                <c:pt idx="586">
                  <c:v>3.1198799610137939</c:v>
                </c:pt>
                <c:pt idx="587">
                  <c:v>1.450300335884094</c:v>
                </c:pt>
                <c:pt idx="588">
                  <c:v>3.2278051376342769</c:v>
                </c:pt>
                <c:pt idx="589">
                  <c:v>2.5260708332061772</c:v>
                </c:pt>
                <c:pt idx="590">
                  <c:v>3.7918410301208501</c:v>
                </c:pt>
                <c:pt idx="591">
                  <c:v>2.9227852821350102</c:v>
                </c:pt>
                <c:pt idx="592">
                  <c:v>2.7993342876434331</c:v>
                </c:pt>
                <c:pt idx="593">
                  <c:v>1.2985436916351321</c:v>
                </c:pt>
                <c:pt idx="594">
                  <c:v>4.3097491264343262</c:v>
                </c:pt>
                <c:pt idx="595">
                  <c:v>2.6158854961395259</c:v>
                </c:pt>
                <c:pt idx="596">
                  <c:v>4.6506505012512207</c:v>
                </c:pt>
                <c:pt idx="597">
                  <c:v>2.9411740303039551</c:v>
                </c:pt>
                <c:pt idx="598">
                  <c:v>3.9602324962615971</c:v>
                </c:pt>
                <c:pt idx="599">
                  <c:v>1.5802932977676389</c:v>
                </c:pt>
                <c:pt idx="600">
                  <c:v>3.854723453521729</c:v>
                </c:pt>
                <c:pt idx="601">
                  <c:v>1.9844391345977781</c:v>
                </c:pt>
                <c:pt idx="602">
                  <c:v>3.8548095226287842</c:v>
                </c:pt>
                <c:pt idx="603">
                  <c:v>1.875513076782227</c:v>
                </c:pt>
                <c:pt idx="604">
                  <c:v>3.4452943801879878</c:v>
                </c:pt>
                <c:pt idx="605">
                  <c:v>2.4170856475830078</c:v>
                </c:pt>
                <c:pt idx="606">
                  <c:v>4.1221671104431152</c:v>
                </c:pt>
                <c:pt idx="607">
                  <c:v>3.4409611225128169</c:v>
                </c:pt>
                <c:pt idx="608">
                  <c:v>4.3052253723144531</c:v>
                </c:pt>
                <c:pt idx="609">
                  <c:v>3.524843692779541</c:v>
                </c:pt>
              </c:numCache>
            </c:numRef>
          </c:yVal>
          <c:smooth val="0"/>
          <c:extLst>
            <c:ext xmlns:c16="http://schemas.microsoft.com/office/drawing/2014/chart" uri="{C3380CC4-5D6E-409C-BE32-E72D297353CC}">
              <c16:uniqueId val="{00000000-5BFC-43F7-8AE0-0EB4C220F198}"/>
            </c:ext>
          </c:extLst>
        </c:ser>
        <c:dLbls>
          <c:showLegendKey val="0"/>
          <c:showVal val="0"/>
          <c:showCatName val="0"/>
          <c:showSerName val="0"/>
          <c:showPercent val="0"/>
          <c:showBubbleSize val="0"/>
        </c:dLbls>
        <c:axId val="71700111"/>
        <c:axId val="71707791"/>
      </c:scatterChart>
      <c:valAx>
        <c:axId val="71700111"/>
        <c:scaling>
          <c:orientation val="minMax"/>
          <c:max val="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SUBJECTIVE MOS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1707791"/>
        <c:crosses val="autoZero"/>
        <c:crossBetween val="midCat"/>
      </c:valAx>
      <c:valAx>
        <c:axId val="71707791"/>
        <c:scaling>
          <c:orientation val="minMax"/>
          <c:max val="5"/>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PREDICTED MOS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17001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4790F333-2A44-4EC3-84BB-7AB956C07BE3}">
          <cx:tx>
            <cx:txData>
              <cx:f>_xlchart.v1.0</cx:f>
              <cx:v>absolute error</cx:v>
            </cx:txData>
          </cx:tx>
          <cx:spPr>
            <a:solidFill>
              <a:srgbClr val="C00000"/>
            </a:solidFill>
            <a:ln w="3175">
              <a:solidFill>
                <a:schemeClr val="tx1"/>
              </a:solidFill>
            </a:ln>
          </cx:spPr>
          <cx:dataLabels>
            <cx:txPr>
              <a:bodyPr spcFirstLastPara="1" vertOverflow="ellipsis" horzOverflow="overflow" wrap="square" lIns="0" tIns="0" rIns="0" bIns="0" anchor="ctr" anchorCtr="1"/>
              <a:lstStyle/>
              <a:p>
                <a:pPr algn="ctr" rtl="0">
                  <a:defRPr b="1"/>
                </a:pPr>
                <a:endParaRPr lang="it-IT"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binning intervalClosed="r">
              <cx:binSize val="0.30000000000000004"/>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it-IT" sz="900" b="0"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161925</xdr:colOff>
      <xdr:row>9</xdr:row>
      <xdr:rowOff>114300</xdr:rowOff>
    </xdr:from>
    <xdr:to>
      <xdr:col>13</xdr:col>
      <xdr:colOff>215900</xdr:colOff>
      <xdr:row>22</xdr:row>
      <xdr:rowOff>165100</xdr:rowOff>
    </xdr:to>
    <xdr:graphicFrame macro="">
      <xdr:nvGraphicFramePr>
        <xdr:cNvPr id="2" name="Grafico 1">
          <a:extLst>
            <a:ext uri="{FF2B5EF4-FFF2-40B4-BE49-F238E27FC236}">
              <a16:creationId xmlns:a16="http://schemas.microsoft.com/office/drawing/2014/main" id="{61806F25-1E7F-545E-9D8F-31C51D135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155575</xdr:colOff>
      <xdr:row>23</xdr:row>
      <xdr:rowOff>12700</xdr:rowOff>
    </xdr:from>
    <xdr:to>
      <xdr:col>13</xdr:col>
      <xdr:colOff>215900</xdr:colOff>
      <xdr:row>38</xdr:row>
      <xdr:rowOff>25400</xdr:rowOff>
    </xdr:to>
    <mc:AlternateContent xmlns:mc="http://schemas.openxmlformats.org/markup-compatibility/2006">
      <mc:Choice xmlns:cx1="http://schemas.microsoft.com/office/drawing/2015/9/8/chartex" Requires="cx1">
        <xdr:graphicFrame macro="">
          <xdr:nvGraphicFramePr>
            <xdr:cNvPr id="3" name="Grafico 2">
              <a:extLst>
                <a:ext uri="{FF2B5EF4-FFF2-40B4-BE49-F238E27FC236}">
                  <a16:creationId xmlns:a16="http://schemas.microsoft.com/office/drawing/2014/main" id="{5E1442D2-C585-88E0-E486-7DE3B3AE0B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10225" y="4248150"/>
              <a:ext cx="4327525" cy="2774950"/>
            </a:xfrm>
            <a:prstGeom prst="rect">
              <a:avLst/>
            </a:prstGeom>
            <a:solidFill>
              <a:prstClr val="white"/>
            </a:solidFill>
            <a:ln w="1">
              <a:solidFill>
                <a:prstClr val="green"/>
              </a:solidFill>
            </a:ln>
          </xdr:spPr>
          <xdr:txBody>
            <a:bodyPr vertOverflow="clip" horzOverflow="clip"/>
            <a:lstStyle/>
            <a:p>
              <a:r>
                <a:rPr lang="it-IT" sz="1100"/>
                <a:t>Il grafico non è disponibile in questa versione di Excel.
Se si modifica questa forma o si salva la cartella di lavoro in un formato di file diverso, il grafico verrà danneggiato in modo permanente.</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1"/>
  <sheetViews>
    <sheetView tabSelected="1" topLeftCell="A7" workbookViewId="0">
      <selection activeCell="P24" sqref="P24"/>
    </sheetView>
  </sheetViews>
  <sheetFormatPr defaultRowHeight="14.5" x14ac:dyDescent="0.35"/>
  <cols>
    <col min="1" max="1" width="15.08984375" customWidth="1"/>
    <col min="2" max="2" width="14.90625" style="1" customWidth="1"/>
    <col min="3" max="3" width="14.26953125" style="1" customWidth="1"/>
    <col min="4" max="4" width="12.7265625" bestFit="1" customWidth="1"/>
    <col min="5" max="5" width="12.36328125" bestFit="1" customWidth="1"/>
  </cols>
  <sheetData>
    <row r="1" spans="1:13" x14ac:dyDescent="0.35">
      <c r="A1" s="2" t="s">
        <v>0</v>
      </c>
      <c r="B1" s="3" t="s">
        <v>1</v>
      </c>
      <c r="C1" s="3" t="s">
        <v>612</v>
      </c>
      <c r="D1" s="2" t="s">
        <v>613</v>
      </c>
      <c r="E1" s="2" t="s">
        <v>614</v>
      </c>
    </row>
    <row r="2" spans="1:13" x14ac:dyDescent="0.35">
      <c r="A2" t="s">
        <v>2</v>
      </c>
      <c r="B2" s="1">
        <v>2.6153846153846154</v>
      </c>
      <c r="C2" s="1">
        <v>2.5853979587554932</v>
      </c>
      <c r="D2" s="1">
        <f>ABS(B2-C2)</f>
        <v>2.9986656629122255E-2</v>
      </c>
      <c r="E2" s="1">
        <f>(B2-C2)^2</f>
        <v>8.9919957579288163E-4</v>
      </c>
    </row>
    <row r="3" spans="1:13" x14ac:dyDescent="0.35">
      <c r="A3" t="s">
        <v>3</v>
      </c>
      <c r="B3" s="1">
        <v>3.8076923076923075</v>
      </c>
      <c r="C3" s="1">
        <v>3.6673736572265621</v>
      </c>
      <c r="D3" s="1">
        <f t="shared" ref="D3:D66" si="0">ABS(B3-C3)</f>
        <v>0.14031865046574543</v>
      </c>
      <c r="E3" s="1">
        <f t="shared" ref="E3:E66" si="1">(B3-C3)^2</f>
        <v>1.968932366852804E-2</v>
      </c>
    </row>
    <row r="4" spans="1:13" x14ac:dyDescent="0.35">
      <c r="A4" t="s">
        <v>4</v>
      </c>
      <c r="B4" s="1">
        <v>3.2692307692307692</v>
      </c>
      <c r="C4" s="1">
        <v>3.1293098926544189</v>
      </c>
      <c r="D4" s="1">
        <f t="shared" si="0"/>
        <v>0.13992087657635022</v>
      </c>
      <c r="E4" s="1">
        <f t="shared" si="1"/>
        <v>1.9577851701894231E-2</v>
      </c>
    </row>
    <row r="5" spans="1:13" x14ac:dyDescent="0.35">
      <c r="A5" t="s">
        <v>5</v>
      </c>
      <c r="B5" s="1">
        <v>2.6923076923076925</v>
      </c>
      <c r="C5" s="1">
        <v>2.515871524810791</v>
      </c>
      <c r="D5" s="1">
        <f t="shared" si="0"/>
        <v>0.1764361674969015</v>
      </c>
      <c r="E5" s="1">
        <f t="shared" si="1"/>
        <v>3.1129721200994682E-2</v>
      </c>
      <c r="I5" s="4" t="s">
        <v>615</v>
      </c>
      <c r="J5" s="4" t="s">
        <v>616</v>
      </c>
      <c r="L5" s="4" t="s">
        <v>617</v>
      </c>
      <c r="M5" s="4" t="s">
        <v>618</v>
      </c>
    </row>
    <row r="6" spans="1:13" x14ac:dyDescent="0.35">
      <c r="A6" t="s">
        <v>6</v>
      </c>
      <c r="B6" s="1">
        <v>3.5</v>
      </c>
      <c r="C6" s="1">
        <v>3.0467395782470699</v>
      </c>
      <c r="D6" s="1">
        <f t="shared" si="0"/>
        <v>0.45326042175293013</v>
      </c>
      <c r="E6" s="1">
        <f t="shared" si="1"/>
        <v>0.20544500992764411</v>
      </c>
      <c r="I6" s="5">
        <f>MIN(D2:D611)</f>
        <v>1.3330268859865768E-3</v>
      </c>
      <c r="J6" s="5">
        <f>MAX(D2:D611)</f>
        <v>1.5682552433013921</v>
      </c>
      <c r="L6" s="6">
        <f>CORREL(B2:B611,C2:C611)</f>
        <v>0.94327077648846358</v>
      </c>
      <c r="M6" s="6" cm="1">
        <f t="array" ref="M6">CORREL(_xlfn.RANK.AVG(B2:B611,B2:B611),_xlfn.RANK.AVG(C2:C611,C2:C611))</f>
        <v>0.93756804441888586</v>
      </c>
    </row>
    <row r="7" spans="1:13" x14ac:dyDescent="0.35">
      <c r="A7" t="s">
        <v>7</v>
      </c>
      <c r="B7" s="1">
        <v>3.1538461538461537</v>
      </c>
      <c r="C7" s="1">
        <v>2.611690759658813</v>
      </c>
      <c r="D7" s="1">
        <f t="shared" si="0"/>
        <v>0.54215539418734071</v>
      </c>
      <c r="E7" s="1">
        <f t="shared" si="1"/>
        <v>0.29393247144643081</v>
      </c>
    </row>
    <row r="8" spans="1:13" x14ac:dyDescent="0.35">
      <c r="A8" t="s">
        <v>8</v>
      </c>
      <c r="B8" s="1">
        <v>4.1923076923076925</v>
      </c>
      <c r="C8" s="1">
        <v>4.3702092170715332</v>
      </c>
      <c r="D8" s="1">
        <f t="shared" si="0"/>
        <v>0.17790152476384069</v>
      </c>
      <c r="E8" s="1">
        <f t="shared" si="1"/>
        <v>3.1648952513299425E-2</v>
      </c>
      <c r="I8" s="4" t="s">
        <v>619</v>
      </c>
      <c r="J8" s="4" t="s">
        <v>620</v>
      </c>
    </row>
    <row r="9" spans="1:13" x14ac:dyDescent="0.35">
      <c r="A9" t="s">
        <v>9</v>
      </c>
      <c r="B9" s="1">
        <v>3.4615384615384617</v>
      </c>
      <c r="C9" s="1">
        <v>3.4265725612640381</v>
      </c>
      <c r="D9" s="1">
        <f t="shared" si="0"/>
        <v>3.4965900274423589E-2</v>
      </c>
      <c r="E9" s="1">
        <f t="shared" si="1"/>
        <v>1.2226141820009357E-3</v>
      </c>
      <c r="I9" s="5">
        <f>AVERAGE(D2:D611)</f>
        <v>0.26797136550893719</v>
      </c>
      <c r="J9" s="6">
        <f>SQRT(AVERAGE(E2:E611))</f>
        <v>0.3574154854482815</v>
      </c>
    </row>
    <row r="10" spans="1:13" x14ac:dyDescent="0.35">
      <c r="A10" t="s">
        <v>10</v>
      </c>
      <c r="B10" s="1">
        <v>3.1923076923076925</v>
      </c>
      <c r="C10" s="1">
        <v>3.0185565948486328</v>
      </c>
      <c r="D10" s="1">
        <f t="shared" si="0"/>
        <v>0.1737510974590597</v>
      </c>
      <c r="E10" s="1">
        <f t="shared" si="1"/>
        <v>3.0189443868227663E-2</v>
      </c>
    </row>
    <row r="11" spans="1:13" x14ac:dyDescent="0.35">
      <c r="A11" t="s">
        <v>11</v>
      </c>
      <c r="B11" s="1">
        <v>3.6923076923076925</v>
      </c>
      <c r="C11" s="1">
        <v>3.801620244979858</v>
      </c>
      <c r="D11" s="1">
        <f t="shared" si="0"/>
        <v>0.10931255267216544</v>
      </c>
      <c r="E11" s="1">
        <f t="shared" si="1"/>
        <v>1.1949234171704943E-2</v>
      </c>
    </row>
    <row r="12" spans="1:13" x14ac:dyDescent="0.35">
      <c r="A12" t="s">
        <v>12</v>
      </c>
      <c r="B12" s="1">
        <v>1.8076923076923077</v>
      </c>
      <c r="C12" s="1">
        <v>2.0880601406097412</v>
      </c>
      <c r="D12" s="1">
        <f t="shared" si="0"/>
        <v>0.2803678329174335</v>
      </c>
      <c r="E12" s="1">
        <f t="shared" si="1"/>
        <v>7.8606121734817902E-2</v>
      </c>
    </row>
    <row r="13" spans="1:13" x14ac:dyDescent="0.35">
      <c r="A13" t="s">
        <v>13</v>
      </c>
      <c r="B13" s="1">
        <v>3.5</v>
      </c>
      <c r="C13" s="1">
        <v>3.3985886573791499</v>
      </c>
      <c r="D13" s="1">
        <f t="shared" si="0"/>
        <v>0.10141134262085005</v>
      </c>
      <c r="E13" s="1">
        <f t="shared" si="1"/>
        <v>1.0284260412163439E-2</v>
      </c>
    </row>
    <row r="14" spans="1:13" x14ac:dyDescent="0.35">
      <c r="A14" t="s">
        <v>14</v>
      </c>
      <c r="B14" s="1">
        <v>4.2307692307692308</v>
      </c>
      <c r="C14" s="1">
        <v>4.2897262573242188</v>
      </c>
      <c r="D14" s="1">
        <f t="shared" si="0"/>
        <v>5.8957026554987912E-2</v>
      </c>
      <c r="E14" s="1">
        <f t="shared" si="1"/>
        <v>3.4759309802055499E-3</v>
      </c>
    </row>
    <row r="15" spans="1:13" x14ac:dyDescent="0.35">
      <c r="A15" t="s">
        <v>15</v>
      </c>
      <c r="B15" s="1">
        <v>3.9230769230769229</v>
      </c>
      <c r="C15" s="1">
        <v>3.5846588611602779</v>
      </c>
      <c r="D15" s="1">
        <f t="shared" si="0"/>
        <v>0.33841806191664503</v>
      </c>
      <c r="E15" s="1">
        <f t="shared" si="1"/>
        <v>0.11452678463141819</v>
      </c>
    </row>
    <row r="16" spans="1:13" x14ac:dyDescent="0.35">
      <c r="A16" t="s">
        <v>16</v>
      </c>
      <c r="B16" s="1">
        <v>2.3461538461538463</v>
      </c>
      <c r="C16" s="1">
        <v>2.2555990219116211</v>
      </c>
      <c r="D16" s="1">
        <f t="shared" si="0"/>
        <v>9.0554824242225163E-2</v>
      </c>
      <c r="E16" s="1">
        <f t="shared" si="1"/>
        <v>8.2001761935402897E-3</v>
      </c>
    </row>
    <row r="17" spans="1:5" x14ac:dyDescent="0.35">
      <c r="A17" t="s">
        <v>17</v>
      </c>
      <c r="B17" s="1">
        <v>4.384615384615385</v>
      </c>
      <c r="C17" s="1">
        <v>4.5843410491943359</v>
      </c>
      <c r="D17" s="1">
        <f t="shared" si="0"/>
        <v>0.19972566457895091</v>
      </c>
      <c r="E17" s="1">
        <f t="shared" si="1"/>
        <v>3.9890341091503606E-2</v>
      </c>
    </row>
    <row r="18" spans="1:5" x14ac:dyDescent="0.35">
      <c r="A18" t="s">
        <v>18</v>
      </c>
      <c r="B18" s="1">
        <v>3.0769230769230771</v>
      </c>
      <c r="C18" s="1">
        <v>2.6912884712219238</v>
      </c>
      <c r="D18" s="1">
        <f t="shared" si="0"/>
        <v>0.38563460570115327</v>
      </c>
      <c r="E18" s="1">
        <f t="shared" si="1"/>
        <v>0.14871404911428396</v>
      </c>
    </row>
    <row r="19" spans="1:5" x14ac:dyDescent="0.35">
      <c r="A19" t="s">
        <v>19</v>
      </c>
      <c r="B19" s="1">
        <v>4.1923076923076925</v>
      </c>
      <c r="C19" s="1">
        <v>4.2564797401428223</v>
      </c>
      <c r="D19" s="1">
        <f t="shared" si="0"/>
        <v>6.4172047835129753E-2</v>
      </c>
      <c r="E19" s="1">
        <f t="shared" si="1"/>
        <v>4.1180517233541814E-3</v>
      </c>
    </row>
    <row r="20" spans="1:5" x14ac:dyDescent="0.35">
      <c r="A20" t="s">
        <v>20</v>
      </c>
      <c r="B20" s="1">
        <v>4.2307692307692308</v>
      </c>
      <c r="C20" s="1">
        <v>4.6177830696105957</v>
      </c>
      <c r="D20" s="1">
        <f t="shared" si="0"/>
        <v>0.38701383884136487</v>
      </c>
      <c r="E20" s="1">
        <f t="shared" si="1"/>
        <v>0.14977971145472993</v>
      </c>
    </row>
    <row r="21" spans="1:5" x14ac:dyDescent="0.35">
      <c r="A21" t="s">
        <v>21</v>
      </c>
      <c r="B21" s="1">
        <v>4.1923076923076925</v>
      </c>
      <c r="C21" s="1">
        <v>4.044987678527832</v>
      </c>
      <c r="D21" s="1">
        <f t="shared" si="0"/>
        <v>0.14732001377986048</v>
      </c>
      <c r="E21" s="1">
        <f t="shared" si="1"/>
        <v>2.1703186460098282E-2</v>
      </c>
    </row>
    <row r="22" spans="1:5" x14ac:dyDescent="0.35">
      <c r="A22" t="s">
        <v>22</v>
      </c>
      <c r="B22" s="1">
        <v>4.615384615384615</v>
      </c>
      <c r="C22" s="1">
        <v>4.7354130744934082</v>
      </c>
      <c r="D22" s="1">
        <f t="shared" si="0"/>
        <v>0.12002845910879323</v>
      </c>
      <c r="E22" s="1">
        <f t="shared" si="1"/>
        <v>1.4406830996031248E-2</v>
      </c>
    </row>
    <row r="23" spans="1:5" x14ac:dyDescent="0.35">
      <c r="A23" t="s">
        <v>23</v>
      </c>
      <c r="B23" s="1">
        <v>2.33</v>
      </c>
      <c r="C23" s="1">
        <v>1.977089405059814</v>
      </c>
      <c r="D23" s="1">
        <f t="shared" si="0"/>
        <v>0.35291059494018606</v>
      </c>
      <c r="E23" s="1">
        <f t="shared" si="1"/>
        <v>0.12454588802103608</v>
      </c>
    </row>
    <row r="24" spans="1:5" x14ac:dyDescent="0.35">
      <c r="A24" t="s">
        <v>24</v>
      </c>
      <c r="B24" s="1">
        <v>2.57</v>
      </c>
      <c r="C24" s="1">
        <v>2.8050861358642578</v>
      </c>
      <c r="D24" s="1">
        <f t="shared" si="0"/>
        <v>0.23508613586425797</v>
      </c>
      <c r="E24" s="1">
        <f t="shared" si="1"/>
        <v>5.5265491275588358E-2</v>
      </c>
    </row>
    <row r="25" spans="1:5" x14ac:dyDescent="0.35">
      <c r="A25" t="s">
        <v>25</v>
      </c>
      <c r="B25" s="1">
        <v>3.81</v>
      </c>
      <c r="C25" s="1">
        <v>4.1693511009216309</v>
      </c>
      <c r="D25" s="1">
        <f t="shared" si="0"/>
        <v>0.35935110092163081</v>
      </c>
      <c r="E25" s="1">
        <f t="shared" si="1"/>
        <v>0.12913321373358808</v>
      </c>
    </row>
    <row r="26" spans="1:5" x14ac:dyDescent="0.35">
      <c r="A26" t="s">
        <v>26</v>
      </c>
      <c r="B26" s="1">
        <v>4.46</v>
      </c>
      <c r="C26" s="1">
        <v>4.602198600769043</v>
      </c>
      <c r="D26" s="1">
        <f t="shared" si="0"/>
        <v>0.142198600769043</v>
      </c>
      <c r="E26" s="1">
        <f t="shared" si="1"/>
        <v>2.0220442060673676E-2</v>
      </c>
    </row>
    <row r="27" spans="1:5" x14ac:dyDescent="0.35">
      <c r="A27" t="s">
        <v>27</v>
      </c>
      <c r="B27" s="1">
        <v>2.7</v>
      </c>
      <c r="C27" s="1">
        <v>2.7017397880554199</v>
      </c>
      <c r="D27" s="1">
        <f t="shared" si="0"/>
        <v>1.7397880554197442E-3</v>
      </c>
      <c r="E27" s="1">
        <f t="shared" si="1"/>
        <v>3.026862477781215E-6</v>
      </c>
    </row>
    <row r="28" spans="1:5" x14ac:dyDescent="0.35">
      <c r="A28" t="s">
        <v>28</v>
      </c>
      <c r="B28" s="1">
        <v>3.83</v>
      </c>
      <c r="C28" s="1">
        <v>3.7143318653106689</v>
      </c>
      <c r="D28" s="1">
        <f t="shared" si="0"/>
        <v>0.11566813468933113</v>
      </c>
      <c r="E28" s="1">
        <f t="shared" si="1"/>
        <v>1.3379117382509246E-2</v>
      </c>
    </row>
    <row r="29" spans="1:5" x14ac:dyDescent="0.35">
      <c r="A29" t="s">
        <v>29</v>
      </c>
      <c r="B29" s="1">
        <v>3.94</v>
      </c>
      <c r="C29" s="1">
        <v>3.9540591239929199</v>
      </c>
      <c r="D29" s="1">
        <f t="shared" si="0"/>
        <v>1.4059123992919975E-2</v>
      </c>
      <c r="E29" s="1">
        <f t="shared" si="1"/>
        <v>1.9765896744829812E-4</v>
      </c>
    </row>
    <row r="30" spans="1:5" x14ac:dyDescent="0.35">
      <c r="A30" t="s">
        <v>30</v>
      </c>
      <c r="B30" s="1">
        <v>4.09</v>
      </c>
      <c r="C30" s="1">
        <v>4.1832699775695801</v>
      </c>
      <c r="D30" s="1">
        <f t="shared" si="0"/>
        <v>9.326997756958022E-2</v>
      </c>
      <c r="E30" s="1">
        <f t="shared" si="1"/>
        <v>8.6992887158299972E-3</v>
      </c>
    </row>
    <row r="31" spans="1:5" x14ac:dyDescent="0.35">
      <c r="A31" t="s">
        <v>31</v>
      </c>
      <c r="B31" s="1">
        <v>2.0699999999999998</v>
      </c>
      <c r="C31" s="1">
        <v>1.8299916982650759</v>
      </c>
      <c r="D31" s="1">
        <f t="shared" si="0"/>
        <v>0.24000830173492393</v>
      </c>
      <c r="E31" s="1">
        <f t="shared" si="1"/>
        <v>5.7603984901682288E-2</v>
      </c>
    </row>
    <row r="32" spans="1:5" x14ac:dyDescent="0.35">
      <c r="A32" t="s">
        <v>32</v>
      </c>
      <c r="B32" s="1">
        <v>3.82</v>
      </c>
      <c r="C32" s="1">
        <v>3.3335855007171631</v>
      </c>
      <c r="D32" s="1">
        <f t="shared" si="0"/>
        <v>0.48641449928283675</v>
      </c>
      <c r="E32" s="1">
        <f t="shared" si="1"/>
        <v>0.23659906511257281</v>
      </c>
    </row>
    <row r="33" spans="1:5" x14ac:dyDescent="0.35">
      <c r="A33" t="s">
        <v>33</v>
      </c>
      <c r="B33" s="1">
        <v>2.39</v>
      </c>
      <c r="C33" s="1">
        <v>2.2747983932495122</v>
      </c>
      <c r="D33" s="1">
        <f t="shared" si="0"/>
        <v>0.11520160675048796</v>
      </c>
      <c r="E33" s="1">
        <f t="shared" si="1"/>
        <v>1.3271410197894074E-2</v>
      </c>
    </row>
    <row r="34" spans="1:5" x14ac:dyDescent="0.35">
      <c r="A34" t="s">
        <v>34</v>
      </c>
      <c r="B34" s="1">
        <v>4.01</v>
      </c>
      <c r="C34" s="1">
        <v>3.594338178634644</v>
      </c>
      <c r="D34" s="1">
        <f t="shared" si="0"/>
        <v>0.41566182136535579</v>
      </c>
      <c r="E34" s="1">
        <f t="shared" si="1"/>
        <v>0.17277474974076495</v>
      </c>
    </row>
    <row r="35" spans="1:5" x14ac:dyDescent="0.35">
      <c r="A35" t="s">
        <v>35</v>
      </c>
      <c r="B35" s="1">
        <v>4.24</v>
      </c>
      <c r="C35" s="1">
        <v>3.7138791084289551</v>
      </c>
      <c r="D35" s="1">
        <f t="shared" si="0"/>
        <v>0.52612089157104514</v>
      </c>
      <c r="E35" s="1">
        <f t="shared" si="1"/>
        <v>0.27680319254751146</v>
      </c>
    </row>
    <row r="36" spans="1:5" x14ac:dyDescent="0.35">
      <c r="A36" t="s">
        <v>36</v>
      </c>
      <c r="B36" s="1">
        <v>3.96</v>
      </c>
      <c r="C36" s="1">
        <v>3.6036579608917241</v>
      </c>
      <c r="D36" s="1">
        <f t="shared" si="0"/>
        <v>0.35634203910827589</v>
      </c>
      <c r="E36" s="1">
        <f t="shared" si="1"/>
        <v>0.12697964883584403</v>
      </c>
    </row>
    <row r="37" spans="1:5" x14ac:dyDescent="0.35">
      <c r="A37" t="s">
        <v>37</v>
      </c>
      <c r="B37" s="1">
        <v>3.9</v>
      </c>
      <c r="C37" s="1">
        <v>3.7541403770446782</v>
      </c>
      <c r="D37" s="1">
        <f t="shared" si="0"/>
        <v>0.14585962295532173</v>
      </c>
      <c r="E37" s="1">
        <f t="shared" si="1"/>
        <v>2.127502960866862E-2</v>
      </c>
    </row>
    <row r="38" spans="1:5" x14ac:dyDescent="0.35">
      <c r="A38" t="s">
        <v>38</v>
      </c>
      <c r="B38" s="1">
        <v>1.37</v>
      </c>
      <c r="C38" s="1">
        <v>1.30279016494751</v>
      </c>
      <c r="D38" s="1">
        <f t="shared" si="0"/>
        <v>6.7209835052490119E-2</v>
      </c>
      <c r="E38" s="1">
        <f t="shared" si="1"/>
        <v>4.517161927782929E-3</v>
      </c>
    </row>
    <row r="39" spans="1:5" x14ac:dyDescent="0.35">
      <c r="A39" t="s">
        <v>39</v>
      </c>
      <c r="B39" s="1">
        <v>1.59</v>
      </c>
      <c r="C39" s="1">
        <v>1.3972107172012329</v>
      </c>
      <c r="D39" s="1">
        <f t="shared" si="0"/>
        <v>0.19278928279876717</v>
      </c>
      <c r="E39" s="1">
        <f t="shared" si="1"/>
        <v>3.7167707562063022E-2</v>
      </c>
    </row>
    <row r="40" spans="1:5" x14ac:dyDescent="0.35">
      <c r="A40" t="s">
        <v>40</v>
      </c>
      <c r="B40" s="1">
        <v>2.2200000000000002</v>
      </c>
      <c r="C40" s="1">
        <v>1.8721742630004881</v>
      </c>
      <c r="D40" s="1">
        <f t="shared" si="0"/>
        <v>0.34782573699951214</v>
      </c>
      <c r="E40" s="1">
        <f t="shared" si="1"/>
        <v>0.12098274331925378</v>
      </c>
    </row>
    <row r="41" spans="1:5" x14ac:dyDescent="0.35">
      <c r="A41" t="s">
        <v>41</v>
      </c>
      <c r="B41" s="1">
        <v>2.99</v>
      </c>
      <c r="C41" s="1">
        <v>2.4686605930328369</v>
      </c>
      <c r="D41" s="1">
        <f t="shared" si="0"/>
        <v>0.5213394069671633</v>
      </c>
      <c r="E41" s="1">
        <f t="shared" si="1"/>
        <v>0.27179477725687351</v>
      </c>
    </row>
    <row r="42" spans="1:5" x14ac:dyDescent="0.35">
      <c r="A42" t="s">
        <v>42</v>
      </c>
      <c r="B42" s="1">
        <v>2.8</v>
      </c>
      <c r="C42" s="1">
        <v>3.2387106418609619</v>
      </c>
      <c r="D42" s="1">
        <f t="shared" si="0"/>
        <v>0.43871064186096209</v>
      </c>
      <c r="E42" s="1">
        <f t="shared" si="1"/>
        <v>0.19246702728205733</v>
      </c>
    </row>
    <row r="43" spans="1:5" x14ac:dyDescent="0.35">
      <c r="A43" t="s">
        <v>43</v>
      </c>
      <c r="B43" s="1">
        <v>3.76</v>
      </c>
      <c r="C43" s="1">
        <v>4.0491733551025391</v>
      </c>
      <c r="D43" s="1">
        <f t="shared" si="0"/>
        <v>0.28917335510253928</v>
      </c>
      <c r="E43" s="1">
        <f t="shared" si="1"/>
        <v>8.3621229301259273E-2</v>
      </c>
    </row>
    <row r="44" spans="1:5" x14ac:dyDescent="0.35">
      <c r="A44" t="s">
        <v>44</v>
      </c>
      <c r="B44" s="1">
        <v>4.13</v>
      </c>
      <c r="C44" s="1">
        <v>4.3990926742553711</v>
      </c>
      <c r="D44" s="1">
        <f t="shared" si="0"/>
        <v>0.2690926742553712</v>
      </c>
      <c r="E44" s="1">
        <f t="shared" si="1"/>
        <v>7.2410867337907317E-2</v>
      </c>
    </row>
    <row r="45" spans="1:5" x14ac:dyDescent="0.35">
      <c r="A45" t="s">
        <v>45</v>
      </c>
      <c r="B45" s="1">
        <v>4.49</v>
      </c>
      <c r="C45" s="1">
        <v>4.5120773315429688</v>
      </c>
      <c r="D45" s="1">
        <f t="shared" si="0"/>
        <v>2.2077331542968537E-2</v>
      </c>
      <c r="E45" s="1">
        <f t="shared" si="1"/>
        <v>4.8740856805815351E-4</v>
      </c>
    </row>
    <row r="46" spans="1:5" x14ac:dyDescent="0.35">
      <c r="A46" t="s">
        <v>46</v>
      </c>
      <c r="B46" s="1">
        <v>2.17</v>
      </c>
      <c r="C46" s="1">
        <v>2.1456887722015381</v>
      </c>
      <c r="D46" s="1">
        <f t="shared" si="0"/>
        <v>2.4311227798461843E-2</v>
      </c>
      <c r="E46" s="1">
        <f t="shared" si="1"/>
        <v>5.9103579706870385E-4</v>
      </c>
    </row>
    <row r="47" spans="1:5" x14ac:dyDescent="0.35">
      <c r="A47" t="s">
        <v>47</v>
      </c>
      <c r="B47" s="1">
        <v>3.88</v>
      </c>
      <c r="C47" s="1">
        <v>3.9544427394866939</v>
      </c>
      <c r="D47" s="1">
        <f t="shared" si="0"/>
        <v>7.4442739486693998E-2</v>
      </c>
      <c r="E47" s="1">
        <f t="shared" si="1"/>
        <v>5.5417214622837897E-3</v>
      </c>
    </row>
    <row r="48" spans="1:5" x14ac:dyDescent="0.35">
      <c r="A48" t="s">
        <v>48</v>
      </c>
      <c r="B48" s="1">
        <v>1.81</v>
      </c>
      <c r="C48" s="1">
        <v>2.0819728374481201</v>
      </c>
      <c r="D48" s="1">
        <f t="shared" si="0"/>
        <v>0.27197283744812006</v>
      </c>
      <c r="E48" s="1">
        <f t="shared" si="1"/>
        <v>7.3969224309581541E-2</v>
      </c>
    </row>
    <row r="49" spans="1:5" x14ac:dyDescent="0.35">
      <c r="A49" t="s">
        <v>49</v>
      </c>
      <c r="B49" s="1">
        <v>4.1100000000000003</v>
      </c>
      <c r="C49" s="1">
        <v>4.2696990966796884</v>
      </c>
      <c r="D49" s="1">
        <f t="shared" si="0"/>
        <v>0.15969909667968807</v>
      </c>
      <c r="E49" s="1">
        <f t="shared" si="1"/>
        <v>2.5503801480308355E-2</v>
      </c>
    </row>
    <row r="50" spans="1:5" x14ac:dyDescent="0.35">
      <c r="A50" t="s">
        <v>50</v>
      </c>
      <c r="B50" s="1">
        <v>2.69</v>
      </c>
      <c r="C50" s="1">
        <v>2.5616335868835449</v>
      </c>
      <c r="D50" s="1">
        <f t="shared" si="0"/>
        <v>0.12836641311645502</v>
      </c>
      <c r="E50" s="1">
        <f t="shared" si="1"/>
        <v>1.6477936016384396E-2</v>
      </c>
    </row>
    <row r="51" spans="1:5" x14ac:dyDescent="0.35">
      <c r="A51" t="s">
        <v>51</v>
      </c>
      <c r="B51" s="1">
        <v>2.68</v>
      </c>
      <c r="C51" s="1">
        <v>2.431562185287476</v>
      </c>
      <c r="D51" s="1">
        <f t="shared" si="0"/>
        <v>0.24843781471252413</v>
      </c>
      <c r="E51" s="1">
        <f t="shared" si="1"/>
        <v>6.1721347779134468E-2</v>
      </c>
    </row>
    <row r="52" spans="1:5" x14ac:dyDescent="0.35">
      <c r="A52" t="s">
        <v>52</v>
      </c>
      <c r="B52" s="1">
        <v>3.47</v>
      </c>
      <c r="C52" s="1">
        <v>3.3726236820220952</v>
      </c>
      <c r="D52" s="1">
        <f t="shared" si="0"/>
        <v>9.7376317977905025E-2</v>
      </c>
      <c r="E52" s="1">
        <f t="shared" si="1"/>
        <v>9.48214730293407E-3</v>
      </c>
    </row>
    <row r="53" spans="1:5" x14ac:dyDescent="0.35">
      <c r="A53" t="s">
        <v>53</v>
      </c>
      <c r="B53" s="1">
        <v>3.73</v>
      </c>
      <c r="C53" s="1">
        <v>3.566970586776733</v>
      </c>
      <c r="D53" s="1">
        <f t="shared" si="0"/>
        <v>0.16302941322326703</v>
      </c>
      <c r="E53" s="1">
        <f t="shared" si="1"/>
        <v>2.6578589575922754E-2</v>
      </c>
    </row>
    <row r="54" spans="1:5" x14ac:dyDescent="0.35">
      <c r="A54" t="s">
        <v>54</v>
      </c>
      <c r="B54" s="1">
        <v>4.1500000000000004</v>
      </c>
      <c r="C54" s="1">
        <v>3.9268372058868408</v>
      </c>
      <c r="D54" s="1">
        <f t="shared" si="0"/>
        <v>0.22316279411315953</v>
      </c>
      <c r="E54" s="1">
        <f t="shared" si="1"/>
        <v>4.9801632676392434E-2</v>
      </c>
    </row>
    <row r="55" spans="1:5" x14ac:dyDescent="0.35">
      <c r="A55" t="s">
        <v>55</v>
      </c>
      <c r="B55" s="1">
        <v>3.27</v>
      </c>
      <c r="C55" s="1">
        <v>3.3468976020812988</v>
      </c>
      <c r="D55" s="1">
        <f t="shared" si="0"/>
        <v>7.689760208129881E-2</v>
      </c>
      <c r="E55" s="1">
        <f t="shared" si="1"/>
        <v>5.9132412058537712E-3</v>
      </c>
    </row>
    <row r="56" spans="1:5" x14ac:dyDescent="0.35">
      <c r="A56" t="s">
        <v>56</v>
      </c>
      <c r="B56" s="1">
        <v>3.69</v>
      </c>
      <c r="C56" s="1">
        <v>3.3830652236938481</v>
      </c>
      <c r="D56" s="1">
        <f t="shared" si="0"/>
        <v>0.30693477630615185</v>
      </c>
      <c r="E56" s="1">
        <f t="shared" si="1"/>
        <v>9.4208956906107477E-2</v>
      </c>
    </row>
    <row r="57" spans="1:5" x14ac:dyDescent="0.35">
      <c r="A57" t="s">
        <v>57</v>
      </c>
      <c r="B57" s="1">
        <v>1.3</v>
      </c>
      <c r="C57" s="1">
        <v>1.35030734539032</v>
      </c>
      <c r="D57" s="1">
        <f t="shared" si="0"/>
        <v>5.0307345390320002E-2</v>
      </c>
      <c r="E57" s="1">
        <f t="shared" si="1"/>
        <v>2.5308290002209509E-3</v>
      </c>
    </row>
    <row r="58" spans="1:5" x14ac:dyDescent="0.35">
      <c r="A58" t="s">
        <v>58</v>
      </c>
      <c r="B58" s="1">
        <v>1.96</v>
      </c>
      <c r="C58" s="1">
        <v>1.9966719150543211</v>
      </c>
      <c r="D58" s="1">
        <f t="shared" si="0"/>
        <v>3.6671915054321103E-2</v>
      </c>
      <c r="E58" s="1">
        <f t="shared" si="1"/>
        <v>1.3448293537513427E-3</v>
      </c>
    </row>
    <row r="59" spans="1:5" x14ac:dyDescent="0.35">
      <c r="A59" t="s">
        <v>59</v>
      </c>
      <c r="B59" s="1">
        <v>2.1800000000000002</v>
      </c>
      <c r="C59" s="1">
        <v>2.1865584850311279</v>
      </c>
      <c r="D59" s="1">
        <f t="shared" si="0"/>
        <v>6.5584850311277698E-3</v>
      </c>
      <c r="E59" s="1">
        <f t="shared" si="1"/>
        <v>4.3013725903527022E-5</v>
      </c>
    </row>
    <row r="60" spans="1:5" x14ac:dyDescent="0.35">
      <c r="A60" t="s">
        <v>60</v>
      </c>
      <c r="B60" s="1">
        <v>2.37</v>
      </c>
      <c r="C60" s="1">
        <v>2.169620037078857</v>
      </c>
      <c r="D60" s="1">
        <f t="shared" si="0"/>
        <v>0.20037996292114313</v>
      </c>
      <c r="E60" s="1">
        <f t="shared" si="1"/>
        <v>4.0152129540278698E-2</v>
      </c>
    </row>
    <row r="61" spans="1:5" x14ac:dyDescent="0.35">
      <c r="A61" t="s">
        <v>61</v>
      </c>
      <c r="B61" s="1">
        <v>2.23</v>
      </c>
      <c r="C61" s="1">
        <v>2.2939193248748779</v>
      </c>
      <c r="D61" s="1">
        <f t="shared" si="0"/>
        <v>6.3919324874877947E-2</v>
      </c>
      <c r="E61" s="1">
        <f t="shared" si="1"/>
        <v>4.0856800924601909E-3</v>
      </c>
    </row>
    <row r="62" spans="1:5" x14ac:dyDescent="0.35">
      <c r="A62" t="s">
        <v>62</v>
      </c>
      <c r="B62" s="1">
        <v>4.3600000000000003</v>
      </c>
      <c r="C62" s="1">
        <v>4.250666618347168</v>
      </c>
      <c r="D62" s="1">
        <f t="shared" si="0"/>
        <v>0.10933338165283235</v>
      </c>
      <c r="E62" s="1">
        <f t="shared" si="1"/>
        <v>1.1953788343643898E-2</v>
      </c>
    </row>
    <row r="63" spans="1:5" x14ac:dyDescent="0.35">
      <c r="A63" t="s">
        <v>63</v>
      </c>
      <c r="B63" s="1">
        <v>4.3</v>
      </c>
      <c r="C63" s="1">
        <v>4.4684805870056152</v>
      </c>
      <c r="D63" s="1">
        <f t="shared" si="0"/>
        <v>0.16848058700561541</v>
      </c>
      <c r="E63" s="1">
        <f t="shared" si="1"/>
        <v>2.8385708197756744E-2</v>
      </c>
    </row>
    <row r="64" spans="1:5" x14ac:dyDescent="0.35">
      <c r="A64" t="s">
        <v>64</v>
      </c>
      <c r="B64" s="1">
        <v>4.43</v>
      </c>
      <c r="C64" s="1">
        <v>4.6631464958190918</v>
      </c>
      <c r="D64" s="1">
        <f t="shared" si="0"/>
        <v>0.23314649581909208</v>
      </c>
      <c r="E64" s="1">
        <f t="shared" si="1"/>
        <v>5.4357288512721924E-2</v>
      </c>
    </row>
    <row r="65" spans="1:5" x14ac:dyDescent="0.35">
      <c r="A65" t="s">
        <v>65</v>
      </c>
      <c r="B65" s="1">
        <v>3.11</v>
      </c>
      <c r="C65" s="1">
        <v>3.2998790740966801</v>
      </c>
      <c r="D65" s="1">
        <f t="shared" si="0"/>
        <v>0.18987907409668026</v>
      </c>
      <c r="E65" s="1">
        <f t="shared" si="1"/>
        <v>3.6054062779812594E-2</v>
      </c>
    </row>
    <row r="66" spans="1:5" x14ac:dyDescent="0.35">
      <c r="A66" t="s">
        <v>66</v>
      </c>
      <c r="B66" s="1">
        <v>4.33</v>
      </c>
      <c r="C66" s="1">
        <v>3.9736323356628418</v>
      </c>
      <c r="D66" s="1">
        <f t="shared" si="0"/>
        <v>0.35636766433715827</v>
      </c>
      <c r="E66" s="1">
        <f t="shared" si="1"/>
        <v>0.12699791218512152</v>
      </c>
    </row>
    <row r="67" spans="1:5" x14ac:dyDescent="0.35">
      <c r="A67" t="s">
        <v>67</v>
      </c>
      <c r="B67" s="1">
        <v>4.43</v>
      </c>
      <c r="C67" s="1">
        <v>4.5955724716186523</v>
      </c>
      <c r="D67" s="1">
        <f t="shared" ref="D67:D130" si="2">ABS(B67-C67)</f>
        <v>0.16557247161865263</v>
      </c>
      <c r="E67" s="1">
        <f t="shared" ref="E67:E130" si="3">(B67-C67)^2</f>
        <v>2.741424335790953E-2</v>
      </c>
    </row>
    <row r="68" spans="1:5" x14ac:dyDescent="0.35">
      <c r="A68" t="s">
        <v>68</v>
      </c>
      <c r="B68" s="1">
        <v>4.58</v>
      </c>
      <c r="C68" s="1">
        <v>4.6951241493225098</v>
      </c>
      <c r="D68" s="1">
        <f t="shared" si="2"/>
        <v>0.11512414932250969</v>
      </c>
      <c r="E68" s="1">
        <f t="shared" si="3"/>
        <v>1.325356975723151E-2</v>
      </c>
    </row>
    <row r="69" spans="1:5" x14ac:dyDescent="0.35">
      <c r="A69" t="s">
        <v>69</v>
      </c>
      <c r="B69" s="1">
        <v>2.2200000000000002</v>
      </c>
      <c r="C69" s="1">
        <v>1.8669775724411011</v>
      </c>
      <c r="D69" s="1">
        <f t="shared" si="2"/>
        <v>0.35302242755889912</v>
      </c>
      <c r="E69" s="1">
        <f t="shared" si="3"/>
        <v>0.12462483435957818</v>
      </c>
    </row>
    <row r="70" spans="1:5" x14ac:dyDescent="0.35">
      <c r="A70" t="s">
        <v>70</v>
      </c>
      <c r="B70" s="1">
        <v>3.35</v>
      </c>
      <c r="C70" s="1">
        <v>2.636060237884521</v>
      </c>
      <c r="D70" s="1">
        <f t="shared" si="2"/>
        <v>0.71393976211547905</v>
      </c>
      <c r="E70" s="1">
        <f t="shared" si="3"/>
        <v>0.50970998392950684</v>
      </c>
    </row>
    <row r="71" spans="1:5" x14ac:dyDescent="0.35">
      <c r="A71" t="s">
        <v>71</v>
      </c>
      <c r="B71" s="1">
        <v>2.74</v>
      </c>
      <c r="C71" s="1">
        <v>2.6007282733917241</v>
      </c>
      <c r="D71" s="1">
        <f t="shared" si="2"/>
        <v>0.13927172660827614</v>
      </c>
      <c r="E71" s="1">
        <f t="shared" si="3"/>
        <v>1.9396613832450411E-2</v>
      </c>
    </row>
    <row r="72" spans="1:5" x14ac:dyDescent="0.35">
      <c r="A72" t="s">
        <v>72</v>
      </c>
      <c r="B72" s="1">
        <v>4.34</v>
      </c>
      <c r="C72" s="1">
        <v>4.0380821228027344</v>
      </c>
      <c r="D72" s="1">
        <f t="shared" si="2"/>
        <v>0.30191787719726548</v>
      </c>
      <c r="E72" s="1">
        <f t="shared" si="3"/>
        <v>9.1154404571303083E-2</v>
      </c>
    </row>
    <row r="73" spans="1:5" x14ac:dyDescent="0.35">
      <c r="A73" t="s">
        <v>73</v>
      </c>
      <c r="B73" s="1">
        <v>4.1100000000000003</v>
      </c>
      <c r="C73" s="1">
        <v>3.6407053470611568</v>
      </c>
      <c r="D73" s="1">
        <f t="shared" si="2"/>
        <v>0.46929465293884354</v>
      </c>
      <c r="E73" s="1">
        <f t="shared" si="3"/>
        <v>0.22023747127698962</v>
      </c>
    </row>
    <row r="74" spans="1:5" x14ac:dyDescent="0.35">
      <c r="A74" t="s">
        <v>74</v>
      </c>
      <c r="B74" s="1">
        <v>4.57</v>
      </c>
      <c r="C74" s="1">
        <v>4.2573161125183114</v>
      </c>
      <c r="D74" s="1">
        <f t="shared" si="2"/>
        <v>0.31268388748168885</v>
      </c>
      <c r="E74" s="1">
        <f t="shared" si="3"/>
        <v>9.7771213490661452E-2</v>
      </c>
    </row>
    <row r="75" spans="1:5" x14ac:dyDescent="0.35">
      <c r="A75" t="s">
        <v>75</v>
      </c>
      <c r="B75" s="1">
        <v>4.32</v>
      </c>
      <c r="C75" s="1">
        <v>4.0409483909606934</v>
      </c>
      <c r="D75" s="1">
        <f t="shared" si="2"/>
        <v>0.27905160903930692</v>
      </c>
      <c r="E75" s="1">
        <f t="shared" si="3"/>
        <v>7.7869800507426201E-2</v>
      </c>
    </row>
    <row r="76" spans="1:5" x14ac:dyDescent="0.35">
      <c r="A76" t="s">
        <v>76</v>
      </c>
      <c r="B76" s="1">
        <v>4.4000000000000004</v>
      </c>
      <c r="C76" s="1">
        <v>3.7671189308166499</v>
      </c>
      <c r="D76" s="1">
        <f t="shared" si="2"/>
        <v>0.63288106918335041</v>
      </c>
      <c r="E76" s="1">
        <f t="shared" si="3"/>
        <v>0.40053844773066077</v>
      </c>
    </row>
    <row r="77" spans="1:5" x14ac:dyDescent="0.35">
      <c r="A77" t="s">
        <v>77</v>
      </c>
      <c r="B77" s="1">
        <v>1.74</v>
      </c>
      <c r="C77" s="1">
        <v>1.4577499628067021</v>
      </c>
      <c r="D77" s="1">
        <f t="shared" si="2"/>
        <v>0.28225003719329789</v>
      </c>
      <c r="E77" s="1">
        <f t="shared" si="3"/>
        <v>7.9665083495618044E-2</v>
      </c>
    </row>
    <row r="78" spans="1:5" x14ac:dyDescent="0.35">
      <c r="A78" t="s">
        <v>78</v>
      </c>
      <c r="B78" s="1">
        <v>2.3199999999999998</v>
      </c>
      <c r="C78" s="1">
        <v>1.8843140602111821</v>
      </c>
      <c r="D78" s="1">
        <f t="shared" si="2"/>
        <v>0.43568593978881776</v>
      </c>
      <c r="E78" s="1">
        <f t="shared" si="3"/>
        <v>0.18982223812966534</v>
      </c>
    </row>
    <row r="79" spans="1:5" x14ac:dyDescent="0.35">
      <c r="A79" t="s">
        <v>79</v>
      </c>
      <c r="B79" s="1">
        <v>2.93</v>
      </c>
      <c r="C79" s="1">
        <v>2.0833640098571782</v>
      </c>
      <c r="D79" s="1">
        <f t="shared" si="2"/>
        <v>0.84663599014282198</v>
      </c>
      <c r="E79" s="1">
        <f t="shared" si="3"/>
        <v>0.71679249980511661</v>
      </c>
    </row>
    <row r="80" spans="1:5" x14ac:dyDescent="0.35">
      <c r="A80" t="s">
        <v>80</v>
      </c>
      <c r="B80" s="1">
        <v>3.55</v>
      </c>
      <c r="C80" s="1">
        <v>2.817704439163208</v>
      </c>
      <c r="D80" s="1">
        <f t="shared" si="2"/>
        <v>0.73229556083679181</v>
      </c>
      <c r="E80" s="1">
        <f t="shared" si="3"/>
        <v>0.53625678842127145</v>
      </c>
    </row>
    <row r="81" spans="1:5" x14ac:dyDescent="0.35">
      <c r="A81" t="s">
        <v>81</v>
      </c>
      <c r="B81" s="1">
        <v>3.38</v>
      </c>
      <c r="C81" s="1">
        <v>3.746658086776733</v>
      </c>
      <c r="D81" s="1">
        <f t="shared" si="2"/>
        <v>0.36665808677673306</v>
      </c>
      <c r="E81" s="1">
        <f t="shared" si="3"/>
        <v>0.13443815259877431</v>
      </c>
    </row>
    <row r="82" spans="1:5" x14ac:dyDescent="0.35">
      <c r="A82" t="s">
        <v>82</v>
      </c>
      <c r="B82" s="1">
        <v>4.33</v>
      </c>
      <c r="C82" s="1">
        <v>4.2575993537902832</v>
      </c>
      <c r="D82" s="1">
        <f t="shared" si="2"/>
        <v>7.2400646209716868E-2</v>
      </c>
      <c r="E82" s="1">
        <f t="shared" si="3"/>
        <v>5.2418535715845899E-3</v>
      </c>
    </row>
    <row r="83" spans="1:5" x14ac:dyDescent="0.35">
      <c r="A83" t="s">
        <v>83</v>
      </c>
      <c r="B83" s="1">
        <v>4.41</v>
      </c>
      <c r="C83" s="1">
        <v>4.6110219955444336</v>
      </c>
      <c r="D83" s="1">
        <f t="shared" si="2"/>
        <v>0.20102199554443345</v>
      </c>
      <c r="E83" s="1">
        <f t="shared" si="3"/>
        <v>4.0409842692666224E-2</v>
      </c>
    </row>
    <row r="84" spans="1:5" x14ac:dyDescent="0.35">
      <c r="A84" t="s">
        <v>84</v>
      </c>
      <c r="B84" s="1">
        <v>4.5</v>
      </c>
      <c r="C84" s="1">
        <v>4.5341587066650391</v>
      </c>
      <c r="D84" s="1">
        <f t="shared" si="2"/>
        <v>3.4158706665039063E-2</v>
      </c>
      <c r="E84" s="1">
        <f t="shared" si="3"/>
        <v>1.1668172410281841E-3</v>
      </c>
    </row>
    <row r="85" spans="1:5" x14ac:dyDescent="0.35">
      <c r="A85" t="s">
        <v>85</v>
      </c>
      <c r="B85" s="1">
        <v>2.4700000000000002</v>
      </c>
      <c r="C85" s="1">
        <v>2.6020629405975342</v>
      </c>
      <c r="D85" s="1">
        <f t="shared" si="2"/>
        <v>0.13206294059753398</v>
      </c>
      <c r="E85" s="1">
        <f t="shared" si="3"/>
        <v>1.744062027926779E-2</v>
      </c>
    </row>
    <row r="86" spans="1:5" x14ac:dyDescent="0.35">
      <c r="A86" t="s">
        <v>86</v>
      </c>
      <c r="B86" s="1">
        <v>3.12</v>
      </c>
      <c r="C86" s="1">
        <v>3.6804783344268799</v>
      </c>
      <c r="D86" s="1">
        <f t="shared" si="2"/>
        <v>0.56047833442687978</v>
      </c>
      <c r="E86" s="1">
        <f t="shared" si="3"/>
        <v>0.31413596336192928</v>
      </c>
    </row>
    <row r="87" spans="1:5" x14ac:dyDescent="0.35">
      <c r="A87" t="s">
        <v>87</v>
      </c>
      <c r="B87" s="1">
        <v>4.3</v>
      </c>
      <c r="C87" s="1">
        <v>4.5291652679443359</v>
      </c>
      <c r="D87" s="1">
        <f t="shared" si="2"/>
        <v>0.22916526794433612</v>
      </c>
      <c r="E87" s="1">
        <f t="shared" si="3"/>
        <v>5.2516720031999364E-2</v>
      </c>
    </row>
    <row r="88" spans="1:5" x14ac:dyDescent="0.35">
      <c r="A88" t="s">
        <v>88</v>
      </c>
      <c r="B88" s="1">
        <v>4.29</v>
      </c>
      <c r="C88" s="1">
        <v>4.6494607925415039</v>
      </c>
      <c r="D88" s="1">
        <f t="shared" si="2"/>
        <v>0.35946079254150387</v>
      </c>
      <c r="E88" s="1">
        <f t="shared" si="3"/>
        <v>0.12921206137456609</v>
      </c>
    </row>
    <row r="89" spans="1:5" x14ac:dyDescent="0.35">
      <c r="A89" t="s">
        <v>89</v>
      </c>
      <c r="B89" s="1">
        <v>2.59</v>
      </c>
      <c r="C89" s="1">
        <v>2.1136932373046879</v>
      </c>
      <c r="D89" s="1">
        <f t="shared" si="2"/>
        <v>0.47630676269531191</v>
      </c>
      <c r="E89" s="1">
        <f t="shared" si="3"/>
        <v>0.22686813218928817</v>
      </c>
    </row>
    <row r="90" spans="1:5" x14ac:dyDescent="0.35">
      <c r="A90" t="s">
        <v>90</v>
      </c>
      <c r="B90" s="1">
        <v>2.42</v>
      </c>
      <c r="C90" s="1">
        <v>2.1262743473052979</v>
      </c>
      <c r="D90" s="1">
        <f t="shared" si="2"/>
        <v>0.29372565269470208</v>
      </c>
      <c r="E90" s="1">
        <f t="shared" si="3"/>
        <v>8.627475905092874E-2</v>
      </c>
    </row>
    <row r="91" spans="1:5" x14ac:dyDescent="0.35">
      <c r="A91" t="s">
        <v>91</v>
      </c>
      <c r="B91" s="1">
        <v>3.31</v>
      </c>
      <c r="C91" s="1">
        <v>2.8305389881134029</v>
      </c>
      <c r="D91" s="1">
        <f t="shared" si="2"/>
        <v>0.47946101188659718</v>
      </c>
      <c r="E91" s="1">
        <f t="shared" si="3"/>
        <v>0.22988286191931967</v>
      </c>
    </row>
    <row r="92" spans="1:5" x14ac:dyDescent="0.35">
      <c r="A92" t="s">
        <v>92</v>
      </c>
      <c r="B92" s="1">
        <v>4.07</v>
      </c>
      <c r="C92" s="1">
        <v>3.697962760925293</v>
      </c>
      <c r="D92" s="1">
        <f t="shared" si="2"/>
        <v>0.37203723907470732</v>
      </c>
      <c r="E92" s="1">
        <f t="shared" si="3"/>
        <v>0.13841170725833093</v>
      </c>
    </row>
    <row r="93" spans="1:5" x14ac:dyDescent="0.35">
      <c r="A93" t="s">
        <v>93</v>
      </c>
      <c r="B93" s="1">
        <v>4.1500000000000004</v>
      </c>
      <c r="C93" s="1">
        <v>4.0690088272094727</v>
      </c>
      <c r="D93" s="1">
        <f t="shared" si="2"/>
        <v>8.0991172790527699E-2</v>
      </c>
      <c r="E93" s="1">
        <f t="shared" si="3"/>
        <v>6.5595700699851147E-3</v>
      </c>
    </row>
    <row r="94" spans="1:5" x14ac:dyDescent="0.35">
      <c r="A94" t="s">
        <v>94</v>
      </c>
      <c r="B94" s="1">
        <v>4.22</v>
      </c>
      <c r="C94" s="1">
        <v>4.2213330268859863</v>
      </c>
      <c r="D94" s="1">
        <f t="shared" si="2"/>
        <v>1.3330268859865768E-3</v>
      </c>
      <c r="E94" s="1">
        <f t="shared" si="3"/>
        <v>1.7769606787630701E-6</v>
      </c>
    </row>
    <row r="95" spans="1:5" x14ac:dyDescent="0.35">
      <c r="A95" t="s">
        <v>95</v>
      </c>
      <c r="B95" s="1">
        <v>3.67</v>
      </c>
      <c r="C95" s="1">
        <v>4.0270810127258301</v>
      </c>
      <c r="D95" s="1">
        <f t="shared" si="2"/>
        <v>0.35708101272583015</v>
      </c>
      <c r="E95" s="1">
        <f t="shared" si="3"/>
        <v>0.12750684964930448</v>
      </c>
    </row>
    <row r="96" spans="1:5" x14ac:dyDescent="0.35">
      <c r="A96" t="s">
        <v>96</v>
      </c>
      <c r="B96" s="1">
        <v>3.91</v>
      </c>
      <c r="C96" s="1">
        <v>3.8365345001220699</v>
      </c>
      <c r="D96" s="1">
        <f t="shared" si="2"/>
        <v>7.3465499877930274E-2</v>
      </c>
      <c r="E96" s="1">
        <f t="shared" si="3"/>
        <v>5.3971796723141733E-3</v>
      </c>
    </row>
    <row r="97" spans="1:5" x14ac:dyDescent="0.35">
      <c r="A97" t="s">
        <v>97</v>
      </c>
      <c r="B97" s="1">
        <v>1.39</v>
      </c>
      <c r="C97" s="1">
        <v>1.376045823097229</v>
      </c>
      <c r="D97" s="1">
        <f t="shared" si="2"/>
        <v>1.3954176902770898E-2</v>
      </c>
      <c r="E97" s="1">
        <f t="shared" si="3"/>
        <v>1.9471905303382483E-4</v>
      </c>
    </row>
    <row r="98" spans="1:5" x14ac:dyDescent="0.35">
      <c r="A98" t="s">
        <v>98</v>
      </c>
      <c r="B98" s="1">
        <v>1.78</v>
      </c>
      <c r="C98" s="1">
        <v>1.9737347364425659</v>
      </c>
      <c r="D98" s="1">
        <f t="shared" si="2"/>
        <v>0.19373473644256589</v>
      </c>
      <c r="E98" s="1">
        <f t="shared" si="3"/>
        <v>3.7533148104470469E-2</v>
      </c>
    </row>
    <row r="99" spans="1:5" x14ac:dyDescent="0.35">
      <c r="A99" t="s">
        <v>99</v>
      </c>
      <c r="B99" s="1">
        <v>2.19</v>
      </c>
      <c r="C99" s="1">
        <v>2.1356091499328609</v>
      </c>
      <c r="D99" s="1">
        <f t="shared" si="2"/>
        <v>5.4390850067139063E-2</v>
      </c>
      <c r="E99" s="1">
        <f t="shared" si="3"/>
        <v>2.9583645710260014E-3</v>
      </c>
    </row>
    <row r="100" spans="1:5" x14ac:dyDescent="0.35">
      <c r="A100" t="s">
        <v>100</v>
      </c>
      <c r="B100" s="1">
        <v>2.48</v>
      </c>
      <c r="C100" s="1">
        <v>2.0915136337280269</v>
      </c>
      <c r="D100" s="1">
        <f t="shared" si="2"/>
        <v>0.38848636627197308</v>
      </c>
      <c r="E100" s="1">
        <f t="shared" si="3"/>
        <v>0.15092165677920164</v>
      </c>
    </row>
    <row r="101" spans="1:5" x14ac:dyDescent="0.35">
      <c r="A101" t="s">
        <v>101</v>
      </c>
      <c r="B101" s="1">
        <v>2.4700000000000002</v>
      </c>
      <c r="C101" s="1">
        <v>2.3126242160797119</v>
      </c>
      <c r="D101" s="1">
        <f t="shared" si="2"/>
        <v>0.15737578392028828</v>
      </c>
      <c r="E101" s="1">
        <f t="shared" si="3"/>
        <v>2.4767137364525269E-2</v>
      </c>
    </row>
    <row r="102" spans="1:5" x14ac:dyDescent="0.35">
      <c r="A102" t="s">
        <v>102</v>
      </c>
      <c r="B102" s="1">
        <v>4.21</v>
      </c>
      <c r="C102" s="1">
        <v>4.0956854820251456</v>
      </c>
      <c r="D102" s="1">
        <f t="shared" si="2"/>
        <v>0.11431451797485437</v>
      </c>
      <c r="E102" s="1">
        <f t="shared" si="3"/>
        <v>1.3067809019823302E-2</v>
      </c>
    </row>
    <row r="103" spans="1:5" x14ac:dyDescent="0.35">
      <c r="A103" t="s">
        <v>103</v>
      </c>
      <c r="B103" s="1">
        <v>4.25</v>
      </c>
      <c r="C103" s="1">
        <v>4.3714704513549796</v>
      </c>
      <c r="D103" s="1">
        <f t="shared" si="2"/>
        <v>0.12147045135497958</v>
      </c>
      <c r="E103" s="1">
        <f t="shared" si="3"/>
        <v>1.4755070552382461E-2</v>
      </c>
    </row>
    <row r="104" spans="1:5" x14ac:dyDescent="0.35">
      <c r="A104" t="s">
        <v>104</v>
      </c>
      <c r="B104" s="1">
        <v>4.51</v>
      </c>
      <c r="C104" s="1">
        <v>4.4947690963745117</v>
      </c>
      <c r="D104" s="1">
        <f t="shared" si="2"/>
        <v>1.5230903625488068E-2</v>
      </c>
      <c r="E104" s="1">
        <f t="shared" si="3"/>
        <v>2.3198042524890557E-4</v>
      </c>
    </row>
    <row r="105" spans="1:5" x14ac:dyDescent="0.35">
      <c r="A105" t="s">
        <v>105</v>
      </c>
      <c r="B105" s="1">
        <v>2.97</v>
      </c>
      <c r="C105" s="1">
        <v>3.386494398117065</v>
      </c>
      <c r="D105" s="1">
        <f t="shared" si="2"/>
        <v>0.41649439811706479</v>
      </c>
      <c r="E105" s="1">
        <f t="shared" si="3"/>
        <v>0.17346758366289605</v>
      </c>
    </row>
    <row r="106" spans="1:5" x14ac:dyDescent="0.35">
      <c r="A106" t="s">
        <v>106</v>
      </c>
      <c r="B106" s="1">
        <v>4.17</v>
      </c>
      <c r="C106" s="1">
        <v>4.0486125946044922</v>
      </c>
      <c r="D106" s="1">
        <f t="shared" si="2"/>
        <v>0.12138740539550774</v>
      </c>
      <c r="E106" s="1">
        <f t="shared" si="3"/>
        <v>1.4734902188653342E-2</v>
      </c>
    </row>
    <row r="107" spans="1:5" x14ac:dyDescent="0.35">
      <c r="A107" t="s">
        <v>107</v>
      </c>
      <c r="B107" s="1">
        <v>4.32</v>
      </c>
      <c r="C107" s="1">
        <v>4.424933910369873</v>
      </c>
      <c r="D107" s="1">
        <f t="shared" si="2"/>
        <v>0.10493391036987276</v>
      </c>
      <c r="E107" s="1">
        <f t="shared" si="3"/>
        <v>1.1011125545512491E-2</v>
      </c>
    </row>
    <row r="108" spans="1:5" x14ac:dyDescent="0.35">
      <c r="A108" t="s">
        <v>108</v>
      </c>
      <c r="B108" s="1">
        <v>4.49</v>
      </c>
      <c r="C108" s="1">
        <v>4.5097451210021973</v>
      </c>
      <c r="D108" s="1">
        <f t="shared" si="2"/>
        <v>1.9745121002197052E-2</v>
      </c>
      <c r="E108" s="1">
        <f t="shared" si="3"/>
        <v>3.8986980339140314E-4</v>
      </c>
    </row>
    <row r="109" spans="1:5" x14ac:dyDescent="0.35">
      <c r="A109" t="s">
        <v>109</v>
      </c>
      <c r="B109" s="1">
        <v>2.59</v>
      </c>
      <c r="C109" s="1">
        <v>2.240848302841187</v>
      </c>
      <c r="D109" s="1">
        <f t="shared" si="2"/>
        <v>0.34915169715881289</v>
      </c>
      <c r="E109" s="1">
        <f t="shared" si="3"/>
        <v>0.12190690762887939</v>
      </c>
    </row>
    <row r="110" spans="1:5" x14ac:dyDescent="0.35">
      <c r="A110" t="s">
        <v>110</v>
      </c>
      <c r="B110" s="1">
        <v>3.19</v>
      </c>
      <c r="C110" s="1">
        <v>3.1459100246429439</v>
      </c>
      <c r="D110" s="1">
        <f t="shared" si="2"/>
        <v>4.4089975357056055E-2</v>
      </c>
      <c r="E110" s="1">
        <f t="shared" si="3"/>
        <v>1.9439259269858102E-3</v>
      </c>
    </row>
    <row r="111" spans="1:5" x14ac:dyDescent="0.35">
      <c r="A111" t="s">
        <v>111</v>
      </c>
      <c r="B111" s="1">
        <v>3.25</v>
      </c>
      <c r="C111" s="1">
        <v>2.5671558380126949</v>
      </c>
      <c r="D111" s="1">
        <f t="shared" si="2"/>
        <v>0.68284416198730513</v>
      </c>
      <c r="E111" s="1">
        <f t="shared" si="3"/>
        <v>0.46627614956014501</v>
      </c>
    </row>
    <row r="112" spans="1:5" x14ac:dyDescent="0.35">
      <c r="A112" t="s">
        <v>112</v>
      </c>
      <c r="B112" s="1">
        <v>3.99</v>
      </c>
      <c r="C112" s="1">
        <v>3.6464347839355469</v>
      </c>
      <c r="D112" s="1">
        <f t="shared" si="2"/>
        <v>0.34356521606445334</v>
      </c>
      <c r="E112" s="1">
        <f t="shared" si="3"/>
        <v>0.11803705768941451</v>
      </c>
    </row>
    <row r="113" spans="1:5" x14ac:dyDescent="0.35">
      <c r="A113" t="s">
        <v>113</v>
      </c>
      <c r="B113" s="1">
        <v>4.1900000000000004</v>
      </c>
      <c r="C113" s="1">
        <v>3.7550590038299561</v>
      </c>
      <c r="D113" s="1">
        <f t="shared" si="2"/>
        <v>0.43494099617004434</v>
      </c>
      <c r="E113" s="1">
        <f t="shared" si="3"/>
        <v>0.18917367014939052</v>
      </c>
    </row>
    <row r="114" spans="1:5" x14ac:dyDescent="0.35">
      <c r="A114" t="s">
        <v>114</v>
      </c>
      <c r="B114" s="1">
        <v>4.21</v>
      </c>
      <c r="C114" s="1">
        <v>4.1335930824279794</v>
      </c>
      <c r="D114" s="1">
        <f t="shared" si="2"/>
        <v>7.6406917572020561E-2</v>
      </c>
      <c r="E114" s="1">
        <f t="shared" si="3"/>
        <v>5.8380170528575448E-3</v>
      </c>
    </row>
    <row r="115" spans="1:5" x14ac:dyDescent="0.35">
      <c r="A115" t="s">
        <v>115</v>
      </c>
      <c r="B115" s="1">
        <v>3.77</v>
      </c>
      <c r="C115" s="1">
        <v>3.805558443069458</v>
      </c>
      <c r="D115" s="1">
        <f t="shared" si="2"/>
        <v>3.555844306945799E-2</v>
      </c>
      <c r="E115" s="1">
        <f t="shared" si="3"/>
        <v>1.2644028735238849E-3</v>
      </c>
    </row>
    <row r="116" spans="1:5" x14ac:dyDescent="0.35">
      <c r="A116" t="s">
        <v>116</v>
      </c>
      <c r="B116" s="1">
        <v>3.57</v>
      </c>
      <c r="C116" s="1">
        <v>3.3435230255126949</v>
      </c>
      <c r="D116" s="1">
        <f t="shared" si="2"/>
        <v>0.22647697448730497</v>
      </c>
      <c r="E116" s="1">
        <f t="shared" si="3"/>
        <v>5.129181997292339E-2</v>
      </c>
    </row>
    <row r="117" spans="1:5" x14ac:dyDescent="0.35">
      <c r="A117" t="s">
        <v>117</v>
      </c>
      <c r="B117" s="1">
        <v>1.36</v>
      </c>
      <c r="C117" s="1">
        <v>1.373522996902466</v>
      </c>
      <c r="D117" s="1">
        <f t="shared" si="2"/>
        <v>1.3522996902465945E-2</v>
      </c>
      <c r="E117" s="1">
        <f t="shared" si="3"/>
        <v>1.8287144522410355E-4</v>
      </c>
    </row>
    <row r="118" spans="1:5" x14ac:dyDescent="0.35">
      <c r="A118" t="s">
        <v>118</v>
      </c>
      <c r="B118" s="1">
        <v>1.43</v>
      </c>
      <c r="C118" s="1">
        <v>1.5636570453643801</v>
      </c>
      <c r="D118" s="1">
        <f t="shared" si="2"/>
        <v>0.13365704536438017</v>
      </c>
      <c r="E118" s="1">
        <f t="shared" si="3"/>
        <v>1.7864205775535977E-2</v>
      </c>
    </row>
    <row r="119" spans="1:5" x14ac:dyDescent="0.35">
      <c r="A119" t="s">
        <v>119</v>
      </c>
      <c r="B119" s="1">
        <v>2.63</v>
      </c>
      <c r="C119" s="1">
        <v>2.105960607528687</v>
      </c>
      <c r="D119" s="1">
        <f t="shared" si="2"/>
        <v>0.52403939247131293</v>
      </c>
      <c r="E119" s="1">
        <f t="shared" si="3"/>
        <v>0.27461728486170273</v>
      </c>
    </row>
    <row r="120" spans="1:5" x14ac:dyDescent="0.35">
      <c r="A120" t="s">
        <v>120</v>
      </c>
      <c r="B120" s="1">
        <v>2.5299999999999998</v>
      </c>
      <c r="C120" s="1">
        <v>2.8227319717407231</v>
      </c>
      <c r="D120" s="1">
        <f t="shared" si="2"/>
        <v>0.2927319717407233</v>
      </c>
      <c r="E120" s="1">
        <f t="shared" si="3"/>
        <v>8.5692007279211627E-2</v>
      </c>
    </row>
    <row r="121" spans="1:5" x14ac:dyDescent="0.35">
      <c r="A121" t="s">
        <v>121</v>
      </c>
      <c r="B121" s="1">
        <v>2.52</v>
      </c>
      <c r="C121" s="1">
        <v>2.609179019927979</v>
      </c>
      <c r="D121" s="1">
        <f t="shared" si="2"/>
        <v>8.9179019927978942E-2</v>
      </c>
      <c r="E121" s="1">
        <f t="shared" si="3"/>
        <v>7.9528975953148656E-3</v>
      </c>
    </row>
    <row r="122" spans="1:5" x14ac:dyDescent="0.35">
      <c r="A122" t="s">
        <v>122</v>
      </c>
      <c r="B122" s="1">
        <v>3.16</v>
      </c>
      <c r="C122" s="1">
        <v>3.468616247177124</v>
      </c>
      <c r="D122" s="1">
        <f t="shared" si="2"/>
        <v>0.30861624717712388</v>
      </c>
      <c r="E122" s="1">
        <f t="shared" si="3"/>
        <v>9.5243988021691622E-2</v>
      </c>
    </row>
    <row r="123" spans="1:5" x14ac:dyDescent="0.35">
      <c r="A123" t="s">
        <v>123</v>
      </c>
      <c r="B123" s="1">
        <v>4.33</v>
      </c>
      <c r="C123" s="1">
        <v>4.4897961616516113</v>
      </c>
      <c r="D123" s="1">
        <f t="shared" si="2"/>
        <v>0.15979616165161126</v>
      </c>
      <c r="E123" s="1">
        <f t="shared" si="3"/>
        <v>2.5534813278587875E-2</v>
      </c>
    </row>
    <row r="124" spans="1:5" x14ac:dyDescent="0.35">
      <c r="A124" t="s">
        <v>124</v>
      </c>
      <c r="B124" s="1">
        <v>4.37</v>
      </c>
      <c r="C124" s="1">
        <v>4.5792407989501953</v>
      </c>
      <c r="D124" s="1">
        <f t="shared" si="2"/>
        <v>0.20924079895019521</v>
      </c>
      <c r="E124" s="1">
        <f t="shared" si="3"/>
        <v>4.3781711945316014E-2</v>
      </c>
    </row>
    <row r="125" spans="1:5" x14ac:dyDescent="0.35">
      <c r="A125" t="s">
        <v>125</v>
      </c>
      <c r="B125" s="1">
        <v>2.72</v>
      </c>
      <c r="C125" s="1">
        <v>2.5855715274810791</v>
      </c>
      <c r="D125" s="1">
        <f t="shared" si="2"/>
        <v>0.13442847251892109</v>
      </c>
      <c r="E125" s="1">
        <f t="shared" si="3"/>
        <v>1.8071014223770325E-2</v>
      </c>
    </row>
    <row r="126" spans="1:5" x14ac:dyDescent="0.35">
      <c r="A126" t="s">
        <v>126</v>
      </c>
      <c r="B126" s="1">
        <v>3.27</v>
      </c>
      <c r="C126" s="1">
        <v>3.426849365234375</v>
      </c>
      <c r="D126" s="1">
        <f t="shared" si="2"/>
        <v>0.15684936523437498</v>
      </c>
      <c r="E126" s="1">
        <f t="shared" si="3"/>
        <v>2.460172337442636E-2</v>
      </c>
    </row>
    <row r="127" spans="1:5" x14ac:dyDescent="0.35">
      <c r="A127" t="s">
        <v>127</v>
      </c>
      <c r="B127" s="1">
        <v>4.03</v>
      </c>
      <c r="C127" s="1">
        <v>4.1724734306335449</v>
      </c>
      <c r="D127" s="1">
        <f t="shared" si="2"/>
        <v>0.14247343063354467</v>
      </c>
      <c r="E127" s="1">
        <f t="shared" si="3"/>
        <v>2.0298678436491465E-2</v>
      </c>
    </row>
    <row r="128" spans="1:5" x14ac:dyDescent="0.35">
      <c r="A128" t="s">
        <v>128</v>
      </c>
      <c r="B128" s="1">
        <v>4.21</v>
      </c>
      <c r="C128" s="1">
        <v>4.3428182601928711</v>
      </c>
      <c r="D128" s="1">
        <f t="shared" si="2"/>
        <v>0.13281826019287113</v>
      </c>
      <c r="E128" s="1">
        <f t="shared" si="3"/>
        <v>1.7640690240661217E-2</v>
      </c>
    </row>
    <row r="129" spans="1:5" x14ac:dyDescent="0.35">
      <c r="A129" t="s">
        <v>129</v>
      </c>
      <c r="B129" s="1">
        <v>2.4</v>
      </c>
      <c r="C129" s="1">
        <v>2.5675337314605708</v>
      </c>
      <c r="D129" s="1">
        <f t="shared" si="2"/>
        <v>0.16753373146057093</v>
      </c>
      <c r="E129" s="1">
        <f t="shared" si="3"/>
        <v>2.8067551177102697E-2</v>
      </c>
    </row>
    <row r="130" spans="1:5" x14ac:dyDescent="0.35">
      <c r="A130" t="s">
        <v>130</v>
      </c>
      <c r="B130" s="1">
        <v>2.94</v>
      </c>
      <c r="C130" s="1">
        <v>3.3920307159423828</v>
      </c>
      <c r="D130" s="1">
        <f t="shared" si="2"/>
        <v>0.45203071594238287</v>
      </c>
      <c r="E130" s="1">
        <f t="shared" si="3"/>
        <v>0.20433176815538323</v>
      </c>
    </row>
    <row r="131" spans="1:5" x14ac:dyDescent="0.35">
      <c r="A131" t="s">
        <v>131</v>
      </c>
      <c r="B131" s="1">
        <v>3.96</v>
      </c>
      <c r="C131" s="1">
        <v>4.1695623397827148</v>
      </c>
      <c r="D131" s="1">
        <f t="shared" ref="D131:D194" si="4">ABS(B131-C131)</f>
        <v>0.20956233978271488</v>
      </c>
      <c r="E131" s="1">
        <f t="shared" ref="E131:E194" si="5">(B131-C131)^2</f>
        <v>4.3916374255206045E-2</v>
      </c>
    </row>
    <row r="132" spans="1:5" x14ac:dyDescent="0.35">
      <c r="A132" t="s">
        <v>132</v>
      </c>
      <c r="B132" s="1">
        <v>3.98</v>
      </c>
      <c r="C132" s="1">
        <v>4.3148584365844727</v>
      </c>
      <c r="D132" s="1">
        <f t="shared" si="4"/>
        <v>0.33485843658447267</v>
      </c>
      <c r="E132" s="1">
        <f t="shared" si="5"/>
        <v>0.1121301725517973</v>
      </c>
    </row>
    <row r="133" spans="1:5" x14ac:dyDescent="0.35">
      <c r="A133" t="s">
        <v>133</v>
      </c>
      <c r="B133" s="1">
        <v>3.34</v>
      </c>
      <c r="C133" s="1">
        <v>3.9722976684570308</v>
      </c>
      <c r="D133" s="1">
        <f t="shared" si="4"/>
        <v>0.63229766845703095</v>
      </c>
      <c r="E133" s="1">
        <f t="shared" si="5"/>
        <v>0.39980034153619742</v>
      </c>
    </row>
    <row r="134" spans="1:5" x14ac:dyDescent="0.35">
      <c r="A134" t="s">
        <v>134</v>
      </c>
      <c r="B134" s="1">
        <v>3.09</v>
      </c>
      <c r="C134" s="1">
        <v>3.3616762161254878</v>
      </c>
      <c r="D134" s="1">
        <f t="shared" si="4"/>
        <v>0.27167621612548798</v>
      </c>
      <c r="E134" s="1">
        <f t="shared" si="5"/>
        <v>7.3807966408262857E-2</v>
      </c>
    </row>
    <row r="135" spans="1:5" x14ac:dyDescent="0.35">
      <c r="A135" t="s">
        <v>135</v>
      </c>
      <c r="B135" s="1">
        <v>2.89</v>
      </c>
      <c r="C135" s="1">
        <v>3.4038081169128418</v>
      </c>
      <c r="D135" s="1">
        <f t="shared" si="4"/>
        <v>0.51380811691284167</v>
      </c>
      <c r="E135" s="1">
        <f t="shared" si="5"/>
        <v>0.26399878100552038</v>
      </c>
    </row>
    <row r="136" spans="1:5" x14ac:dyDescent="0.35">
      <c r="A136" t="s">
        <v>136</v>
      </c>
      <c r="B136" s="1">
        <v>1.32</v>
      </c>
      <c r="C136" s="1">
        <v>1.277918815612793</v>
      </c>
      <c r="D136" s="1">
        <f t="shared" si="4"/>
        <v>4.2081184387207093E-2</v>
      </c>
      <c r="E136" s="1">
        <f t="shared" si="5"/>
        <v>1.7708260794301221E-3</v>
      </c>
    </row>
    <row r="137" spans="1:5" x14ac:dyDescent="0.35">
      <c r="A137" t="s">
        <v>137</v>
      </c>
      <c r="B137" s="1">
        <v>1.6</v>
      </c>
      <c r="C137" s="1">
        <v>1.406262159347534</v>
      </c>
      <c r="D137" s="1">
        <f t="shared" si="4"/>
        <v>0.19373784065246613</v>
      </c>
      <c r="E137" s="1">
        <f t="shared" si="5"/>
        <v>3.7534350900680358E-2</v>
      </c>
    </row>
    <row r="138" spans="1:5" x14ac:dyDescent="0.35">
      <c r="A138" t="s">
        <v>138</v>
      </c>
      <c r="B138" s="1">
        <v>1.65</v>
      </c>
      <c r="C138" s="1">
        <v>1.4471365213394169</v>
      </c>
      <c r="D138" s="1">
        <f t="shared" si="4"/>
        <v>0.20286347866058296</v>
      </c>
      <c r="E138" s="1">
        <f t="shared" si="5"/>
        <v>4.1153590974272798E-2</v>
      </c>
    </row>
    <row r="139" spans="1:5" x14ac:dyDescent="0.35">
      <c r="A139" t="s">
        <v>139</v>
      </c>
      <c r="B139" s="1">
        <v>1.48</v>
      </c>
      <c r="C139" s="1">
        <v>1.436903834342957</v>
      </c>
      <c r="D139" s="1">
        <f t="shared" si="4"/>
        <v>4.3096165657042995E-2</v>
      </c>
      <c r="E139" s="1">
        <f t="shared" si="5"/>
        <v>1.857279494339292E-3</v>
      </c>
    </row>
    <row r="140" spans="1:5" x14ac:dyDescent="0.35">
      <c r="A140" t="s">
        <v>140</v>
      </c>
      <c r="B140" s="1">
        <v>2.4900000000000002</v>
      </c>
      <c r="C140" s="1">
        <v>2.554648637771606</v>
      </c>
      <c r="D140" s="1">
        <f t="shared" si="4"/>
        <v>6.4648637771605788E-2</v>
      </c>
      <c r="E140" s="1">
        <f t="shared" si="5"/>
        <v>4.1794463657242945E-3</v>
      </c>
    </row>
    <row r="141" spans="1:5" x14ac:dyDescent="0.35">
      <c r="A141" t="s">
        <v>141</v>
      </c>
      <c r="B141" s="1">
        <v>2.93</v>
      </c>
      <c r="C141" s="1">
        <v>3.323267936706543</v>
      </c>
      <c r="D141" s="1">
        <f t="shared" si="4"/>
        <v>0.39326793670654281</v>
      </c>
      <c r="E141" s="1">
        <f t="shared" si="5"/>
        <v>0.15465967004142137</v>
      </c>
    </row>
    <row r="142" spans="1:5" x14ac:dyDescent="0.35">
      <c r="A142" t="s">
        <v>142</v>
      </c>
      <c r="B142" s="1">
        <v>3.85</v>
      </c>
      <c r="C142" s="1">
        <v>3.929862499237061</v>
      </c>
      <c r="D142" s="1">
        <f t="shared" si="4"/>
        <v>7.9862499237060902E-2</v>
      </c>
      <c r="E142" s="1">
        <f t="shared" si="5"/>
        <v>6.3780187843895534E-3</v>
      </c>
    </row>
    <row r="143" spans="1:5" x14ac:dyDescent="0.35">
      <c r="A143" t="s">
        <v>143</v>
      </c>
      <c r="B143" s="1">
        <v>4.05</v>
      </c>
      <c r="C143" s="1">
        <v>4.2637448310852051</v>
      </c>
      <c r="D143" s="1">
        <f t="shared" si="4"/>
        <v>0.21374483108520526</v>
      </c>
      <c r="E143" s="1">
        <f t="shared" si="5"/>
        <v>4.5686852815642928E-2</v>
      </c>
    </row>
    <row r="144" spans="1:5" x14ac:dyDescent="0.35">
      <c r="A144" t="s">
        <v>144</v>
      </c>
      <c r="B144" s="1">
        <v>2.02</v>
      </c>
      <c r="C144" s="1">
        <v>1.8645129203796389</v>
      </c>
      <c r="D144" s="1">
        <f t="shared" si="4"/>
        <v>0.15548707962036112</v>
      </c>
      <c r="E144" s="1">
        <f t="shared" si="5"/>
        <v>2.417623192886852E-2</v>
      </c>
    </row>
    <row r="145" spans="1:5" x14ac:dyDescent="0.35">
      <c r="A145" t="s">
        <v>145</v>
      </c>
      <c r="B145" s="1">
        <v>2.27</v>
      </c>
      <c r="C145" s="1">
        <v>2.4275763034820561</v>
      </c>
      <c r="D145" s="1">
        <f t="shared" si="4"/>
        <v>0.15757630348205609</v>
      </c>
      <c r="E145" s="1">
        <f t="shared" si="5"/>
        <v>2.4830291419069041E-2</v>
      </c>
    </row>
    <row r="146" spans="1:5" x14ac:dyDescent="0.35">
      <c r="A146" t="s">
        <v>146</v>
      </c>
      <c r="B146" s="1">
        <v>3.95</v>
      </c>
      <c r="C146" s="1">
        <v>4.179224967956543</v>
      </c>
      <c r="D146" s="1">
        <f t="shared" si="4"/>
        <v>0.22922496795654279</v>
      </c>
      <c r="E146" s="1">
        <f t="shared" si="5"/>
        <v>5.2544085934678068E-2</v>
      </c>
    </row>
    <row r="147" spans="1:5" x14ac:dyDescent="0.35">
      <c r="A147" t="s">
        <v>147</v>
      </c>
      <c r="B147" s="1">
        <v>4.45</v>
      </c>
      <c r="C147" s="1">
        <v>4.3579668998718262</v>
      </c>
      <c r="D147" s="1">
        <f t="shared" si="4"/>
        <v>9.2033100128174006E-2</v>
      </c>
      <c r="E147" s="1">
        <f t="shared" si="5"/>
        <v>8.4700915192025029E-3</v>
      </c>
    </row>
    <row r="148" spans="1:5" x14ac:dyDescent="0.35">
      <c r="A148" t="s">
        <v>148</v>
      </c>
      <c r="B148" s="1">
        <v>2.37</v>
      </c>
      <c r="C148" s="1">
        <v>2.357790470123291</v>
      </c>
      <c r="D148" s="1">
        <f t="shared" si="4"/>
        <v>1.2209529876709091E-2</v>
      </c>
      <c r="E148" s="1">
        <f t="shared" si="5"/>
        <v>1.4907261981025191E-4</v>
      </c>
    </row>
    <row r="149" spans="1:5" x14ac:dyDescent="0.35">
      <c r="A149" t="s">
        <v>149</v>
      </c>
      <c r="B149" s="1">
        <v>3.3</v>
      </c>
      <c r="C149" s="1">
        <v>3.0869145393371582</v>
      </c>
      <c r="D149" s="1">
        <f t="shared" si="4"/>
        <v>0.21308546066284162</v>
      </c>
      <c r="E149" s="1">
        <f t="shared" si="5"/>
        <v>4.5405413545895425E-2</v>
      </c>
    </row>
    <row r="150" spans="1:5" x14ac:dyDescent="0.35">
      <c r="A150" t="s">
        <v>150</v>
      </c>
      <c r="B150" s="1">
        <v>3.68</v>
      </c>
      <c r="C150" s="1">
        <v>3.8036518096923828</v>
      </c>
      <c r="D150" s="1">
        <f t="shared" si="4"/>
        <v>0.12365180969238265</v>
      </c>
      <c r="E150" s="1">
        <f t="shared" si="5"/>
        <v>1.5289770040201217E-2</v>
      </c>
    </row>
    <row r="151" spans="1:5" x14ac:dyDescent="0.35">
      <c r="A151" t="s">
        <v>151</v>
      </c>
      <c r="B151" s="1">
        <v>4.1900000000000004</v>
      </c>
      <c r="C151" s="1">
        <v>4.2524147033691406</v>
      </c>
      <c r="D151" s="1">
        <f t="shared" si="4"/>
        <v>6.2414703369140234E-2</v>
      </c>
      <c r="E151" s="1">
        <f t="shared" si="5"/>
        <v>3.8955951966577651E-3</v>
      </c>
    </row>
    <row r="152" spans="1:5" x14ac:dyDescent="0.35">
      <c r="A152" t="s">
        <v>152</v>
      </c>
      <c r="B152" s="1">
        <v>1.83</v>
      </c>
      <c r="C152" s="1">
        <v>1.61360764503479</v>
      </c>
      <c r="D152" s="1">
        <f t="shared" si="4"/>
        <v>0.21639235496521003</v>
      </c>
      <c r="E152" s="1">
        <f t="shared" si="5"/>
        <v>4.6825651287389455E-2</v>
      </c>
    </row>
    <row r="153" spans="1:5" x14ac:dyDescent="0.35">
      <c r="A153" t="s">
        <v>153</v>
      </c>
      <c r="B153" s="1">
        <v>2</v>
      </c>
      <c r="C153" s="1">
        <v>2.0402569770812988</v>
      </c>
      <c r="D153" s="1">
        <f t="shared" si="4"/>
        <v>4.0256977081298828E-2</v>
      </c>
      <c r="E153" s="1">
        <f t="shared" si="5"/>
        <v>1.6206242037242191E-3</v>
      </c>
    </row>
    <row r="154" spans="1:5" x14ac:dyDescent="0.35">
      <c r="A154" t="s">
        <v>154</v>
      </c>
      <c r="B154" s="1">
        <v>3.24</v>
      </c>
      <c r="C154" s="1">
        <v>3.2327926158905029</v>
      </c>
      <c r="D154" s="1">
        <f t="shared" si="4"/>
        <v>7.2073841094972835E-3</v>
      </c>
      <c r="E154" s="1">
        <f t="shared" si="5"/>
        <v>5.194638570183395E-5</v>
      </c>
    </row>
    <row r="155" spans="1:5" x14ac:dyDescent="0.35">
      <c r="A155" t="s">
        <v>155</v>
      </c>
      <c r="B155" s="1">
        <v>3.01</v>
      </c>
      <c r="C155" s="1">
        <v>3.284837007522583</v>
      </c>
      <c r="D155" s="1">
        <f t="shared" si="4"/>
        <v>0.27483700752258322</v>
      </c>
      <c r="E155" s="1">
        <f t="shared" si="5"/>
        <v>7.5535380703968466E-2</v>
      </c>
    </row>
    <row r="156" spans="1:5" x14ac:dyDescent="0.35">
      <c r="A156" t="s">
        <v>156</v>
      </c>
      <c r="B156" s="1">
        <v>1.4</v>
      </c>
      <c r="C156" s="1">
        <v>1.252866387367249</v>
      </c>
      <c r="D156" s="1">
        <f t="shared" si="4"/>
        <v>0.14713361263275093</v>
      </c>
      <c r="E156" s="1">
        <f t="shared" si="5"/>
        <v>2.1648299966364404E-2</v>
      </c>
    </row>
    <row r="157" spans="1:5" x14ac:dyDescent="0.35">
      <c r="A157" t="s">
        <v>157</v>
      </c>
      <c r="B157" s="1">
        <v>1.72</v>
      </c>
      <c r="C157" s="1">
        <v>1.5043351650238039</v>
      </c>
      <c r="D157" s="1">
        <f t="shared" si="4"/>
        <v>0.21566483497619604</v>
      </c>
      <c r="E157" s="1">
        <f t="shared" si="5"/>
        <v>4.6511321045309868E-2</v>
      </c>
    </row>
    <row r="158" spans="1:5" x14ac:dyDescent="0.35">
      <c r="A158" t="s">
        <v>158</v>
      </c>
      <c r="B158" s="1">
        <v>1.95</v>
      </c>
      <c r="C158" s="1">
        <v>1.606325507164001</v>
      </c>
      <c r="D158" s="1">
        <f t="shared" si="4"/>
        <v>0.34367449283599893</v>
      </c>
      <c r="E158" s="1">
        <f t="shared" si="5"/>
        <v>0.11811215702608108</v>
      </c>
    </row>
    <row r="159" spans="1:5" x14ac:dyDescent="0.35">
      <c r="A159" t="s">
        <v>159</v>
      </c>
      <c r="B159" s="1">
        <v>2.5099999999999998</v>
      </c>
      <c r="C159" s="1">
        <v>2.1587989330291748</v>
      </c>
      <c r="D159" s="1">
        <f t="shared" si="4"/>
        <v>0.35120106697082498</v>
      </c>
      <c r="E159" s="1">
        <f t="shared" si="5"/>
        <v>0.1233421894414459</v>
      </c>
    </row>
    <row r="160" spans="1:5" x14ac:dyDescent="0.35">
      <c r="A160" t="s">
        <v>160</v>
      </c>
      <c r="B160" s="1">
        <v>3.11</v>
      </c>
      <c r="C160" s="1">
        <v>3.0488557815551758</v>
      </c>
      <c r="D160" s="1">
        <f t="shared" si="4"/>
        <v>6.1144218444824094E-2</v>
      </c>
      <c r="E160" s="1">
        <f t="shared" si="5"/>
        <v>3.738615449228367E-3</v>
      </c>
    </row>
    <row r="161" spans="1:5" x14ac:dyDescent="0.35">
      <c r="A161" t="s">
        <v>161</v>
      </c>
      <c r="B161" s="1">
        <v>3.53</v>
      </c>
      <c r="C161" s="1">
        <v>3.7696268558502202</v>
      </c>
      <c r="D161" s="1">
        <f t="shared" si="4"/>
        <v>0.23962685585022037</v>
      </c>
      <c r="E161" s="1">
        <f t="shared" si="5"/>
        <v>5.7421030044662293E-2</v>
      </c>
    </row>
    <row r="162" spans="1:5" x14ac:dyDescent="0.35">
      <c r="A162" t="s">
        <v>162</v>
      </c>
      <c r="B162" s="1">
        <v>4.4000000000000004</v>
      </c>
      <c r="C162" s="1">
        <v>4.5630135536193848</v>
      </c>
      <c r="D162" s="1">
        <f t="shared" si="4"/>
        <v>0.16301355361938441</v>
      </c>
      <c r="E162" s="1">
        <f t="shared" si="5"/>
        <v>2.6573418663619917E-2</v>
      </c>
    </row>
    <row r="163" spans="1:5" x14ac:dyDescent="0.35">
      <c r="A163" t="s">
        <v>163</v>
      </c>
      <c r="B163" s="1">
        <v>4.57</v>
      </c>
      <c r="C163" s="1">
        <v>4.7661657333374023</v>
      </c>
      <c r="D163" s="1">
        <f t="shared" si="4"/>
        <v>0.19616573333740206</v>
      </c>
      <c r="E163" s="1">
        <f t="shared" si="5"/>
        <v>3.8480994935800733E-2</v>
      </c>
    </row>
    <row r="164" spans="1:5" x14ac:dyDescent="0.35">
      <c r="A164" t="s">
        <v>164</v>
      </c>
      <c r="B164" s="1">
        <v>3.54</v>
      </c>
      <c r="C164" s="1">
        <v>3.8394052982330318</v>
      </c>
      <c r="D164" s="1">
        <f t="shared" si="4"/>
        <v>0.29940529823303175</v>
      </c>
      <c r="E164" s="1">
        <f t="shared" si="5"/>
        <v>8.9643532610010679E-2</v>
      </c>
    </row>
    <row r="165" spans="1:5" x14ac:dyDescent="0.35">
      <c r="A165" t="s">
        <v>165</v>
      </c>
      <c r="B165" s="1">
        <v>4.41</v>
      </c>
      <c r="C165" s="1">
        <v>4.5102729797363281</v>
      </c>
      <c r="D165" s="1">
        <f t="shared" si="4"/>
        <v>0.10027297973632798</v>
      </c>
      <c r="E165" s="1">
        <f t="shared" si="5"/>
        <v>1.0054670465202042E-2</v>
      </c>
    </row>
    <row r="166" spans="1:5" x14ac:dyDescent="0.35">
      <c r="A166" t="s">
        <v>166</v>
      </c>
      <c r="B166" s="1">
        <v>4.3099999999999996</v>
      </c>
      <c r="C166" s="1">
        <v>4.5680713653564453</v>
      </c>
      <c r="D166" s="1">
        <f t="shared" si="4"/>
        <v>0.2580713653564457</v>
      </c>
      <c r="E166" s="1">
        <f t="shared" si="5"/>
        <v>6.6600829616940083E-2</v>
      </c>
    </row>
    <row r="167" spans="1:5" x14ac:dyDescent="0.35">
      <c r="A167" t="s">
        <v>167</v>
      </c>
      <c r="B167" s="1">
        <v>3.08</v>
      </c>
      <c r="C167" s="1">
        <v>2.990362167358398</v>
      </c>
      <c r="D167" s="1">
        <f t="shared" si="4"/>
        <v>8.9637832641602078E-2</v>
      </c>
      <c r="E167" s="1">
        <f t="shared" si="5"/>
        <v>8.0349410406838628E-3</v>
      </c>
    </row>
    <row r="168" spans="1:5" x14ac:dyDescent="0.35">
      <c r="A168" t="s">
        <v>168</v>
      </c>
      <c r="B168" s="1">
        <v>3.17</v>
      </c>
      <c r="C168" s="1">
        <v>3.625662088394165</v>
      </c>
      <c r="D168" s="1">
        <f t="shared" si="4"/>
        <v>0.45566208839416511</v>
      </c>
      <c r="E168" s="1">
        <f t="shared" si="5"/>
        <v>0.20762793879973193</v>
      </c>
    </row>
    <row r="169" spans="1:5" x14ac:dyDescent="0.35">
      <c r="A169" t="s">
        <v>169</v>
      </c>
      <c r="B169" s="1">
        <v>3.78</v>
      </c>
      <c r="C169" s="1">
        <v>4.1605587005615234</v>
      </c>
      <c r="D169" s="1">
        <f t="shared" si="4"/>
        <v>0.38055870056152363</v>
      </c>
      <c r="E169" s="1">
        <f t="shared" si="5"/>
        <v>0.14482492457307541</v>
      </c>
    </row>
    <row r="170" spans="1:5" x14ac:dyDescent="0.35">
      <c r="A170" t="s">
        <v>170</v>
      </c>
      <c r="B170" s="1">
        <v>3.32</v>
      </c>
      <c r="C170" s="1">
        <v>3.1873927116394039</v>
      </c>
      <c r="D170" s="1">
        <f t="shared" si="4"/>
        <v>0.13260728836059599</v>
      </c>
      <c r="E170" s="1">
        <f t="shared" si="5"/>
        <v>1.7584692926350256E-2</v>
      </c>
    </row>
    <row r="171" spans="1:5" x14ac:dyDescent="0.35">
      <c r="A171" t="s">
        <v>171</v>
      </c>
      <c r="B171" s="1">
        <v>3.83</v>
      </c>
      <c r="C171" s="1">
        <v>3.4880001544952388</v>
      </c>
      <c r="D171" s="1">
        <f t="shared" si="4"/>
        <v>0.34199984550476126</v>
      </c>
      <c r="E171" s="1">
        <f t="shared" si="5"/>
        <v>0.11696389432528057</v>
      </c>
    </row>
    <row r="172" spans="1:5" x14ac:dyDescent="0.35">
      <c r="A172" t="s">
        <v>172</v>
      </c>
      <c r="B172" s="1">
        <v>4.01</v>
      </c>
      <c r="C172" s="1">
        <v>3.4900445938110352</v>
      </c>
      <c r="D172" s="1">
        <f t="shared" si="4"/>
        <v>0.51995540618896463</v>
      </c>
      <c r="E172" s="1">
        <f t="shared" si="5"/>
        <v>0.27035362442513122</v>
      </c>
    </row>
    <row r="173" spans="1:5" x14ac:dyDescent="0.35">
      <c r="A173" t="s">
        <v>173</v>
      </c>
      <c r="B173" s="1">
        <v>3.36</v>
      </c>
      <c r="C173" s="1">
        <v>3.0399641990661621</v>
      </c>
      <c r="D173" s="1">
        <f t="shared" si="4"/>
        <v>0.32003580093383777</v>
      </c>
      <c r="E173" s="1">
        <f t="shared" si="5"/>
        <v>0.10242291387936303</v>
      </c>
    </row>
    <row r="174" spans="1:5" x14ac:dyDescent="0.35">
      <c r="A174" t="s">
        <v>174</v>
      </c>
      <c r="B174" s="1">
        <v>3.31</v>
      </c>
      <c r="C174" s="1">
        <v>3.2448830604553218</v>
      </c>
      <c r="D174" s="1">
        <f t="shared" si="4"/>
        <v>6.5116939544678232E-2</v>
      </c>
      <c r="E174" s="1">
        <f t="shared" si="5"/>
        <v>4.2402158156652795E-3</v>
      </c>
    </row>
    <row r="175" spans="1:5" x14ac:dyDescent="0.35">
      <c r="A175" t="s">
        <v>175</v>
      </c>
      <c r="B175" s="1">
        <v>1.18</v>
      </c>
      <c r="C175" s="1">
        <v>1.2903516292572019</v>
      </c>
      <c r="D175" s="1">
        <f t="shared" si="4"/>
        <v>0.11035162925720199</v>
      </c>
      <c r="E175" s="1">
        <f t="shared" si="5"/>
        <v>1.2177482079718959E-2</v>
      </c>
    </row>
    <row r="176" spans="1:5" x14ac:dyDescent="0.35">
      <c r="A176" t="s">
        <v>176</v>
      </c>
      <c r="B176" s="1">
        <v>1.44</v>
      </c>
      <c r="C176" s="1">
        <v>1.418524384498596</v>
      </c>
      <c r="D176" s="1">
        <f t="shared" si="4"/>
        <v>2.1475615501403977E-2</v>
      </c>
      <c r="E176" s="1">
        <f t="shared" si="5"/>
        <v>4.6120206116414278E-4</v>
      </c>
    </row>
    <row r="177" spans="1:5" x14ac:dyDescent="0.35">
      <c r="A177" t="s">
        <v>177</v>
      </c>
      <c r="B177" s="1">
        <v>1.65</v>
      </c>
      <c r="C177" s="1">
        <v>1.445696115493774</v>
      </c>
      <c r="D177" s="1">
        <f t="shared" si="4"/>
        <v>0.20430388450622594</v>
      </c>
      <c r="E177" s="1">
        <f t="shared" si="5"/>
        <v>4.1740077224333309E-2</v>
      </c>
    </row>
    <row r="178" spans="1:5" x14ac:dyDescent="0.35">
      <c r="A178" t="s">
        <v>178</v>
      </c>
      <c r="B178" s="1">
        <v>1.67</v>
      </c>
      <c r="C178" s="1">
        <v>1.5620888471603389</v>
      </c>
      <c r="D178" s="1">
        <f t="shared" si="4"/>
        <v>0.10791115283966102</v>
      </c>
      <c r="E178" s="1">
        <f t="shared" si="5"/>
        <v>1.164481690718468E-2</v>
      </c>
    </row>
    <row r="179" spans="1:5" x14ac:dyDescent="0.35">
      <c r="A179" t="s">
        <v>179</v>
      </c>
      <c r="B179" s="1">
        <v>2.19</v>
      </c>
      <c r="C179" s="1">
        <v>2.414230585098267</v>
      </c>
      <c r="D179" s="1">
        <f t="shared" si="4"/>
        <v>0.2242305850982671</v>
      </c>
      <c r="E179" s="1">
        <f t="shared" si="5"/>
        <v>5.0279355293511206E-2</v>
      </c>
    </row>
    <row r="180" spans="1:5" x14ac:dyDescent="0.35">
      <c r="A180" t="s">
        <v>180</v>
      </c>
      <c r="B180" s="1">
        <v>3.35</v>
      </c>
      <c r="C180" s="1">
        <v>3.404117107391357</v>
      </c>
      <c r="D180" s="1">
        <f t="shared" si="4"/>
        <v>5.4117107391356889E-2</v>
      </c>
      <c r="E180" s="1">
        <f t="shared" si="5"/>
        <v>2.9286613124076544E-3</v>
      </c>
    </row>
    <row r="181" spans="1:5" x14ac:dyDescent="0.35">
      <c r="A181" t="s">
        <v>181</v>
      </c>
      <c r="B181" s="1">
        <v>3.25</v>
      </c>
      <c r="C181" s="1">
        <v>4.1048746109008789</v>
      </c>
      <c r="D181" s="1">
        <f t="shared" si="4"/>
        <v>0.85487461090087891</v>
      </c>
      <c r="E181" s="1">
        <f t="shared" si="5"/>
        <v>0.73081060036292911</v>
      </c>
    </row>
    <row r="182" spans="1:5" x14ac:dyDescent="0.35">
      <c r="A182" t="s">
        <v>182</v>
      </c>
      <c r="B182" s="1">
        <v>4.1900000000000004</v>
      </c>
      <c r="C182" s="1">
        <v>4.3108487129211426</v>
      </c>
      <c r="D182" s="1">
        <f t="shared" si="4"/>
        <v>0.12084871292114219</v>
      </c>
      <c r="E182" s="1">
        <f t="shared" si="5"/>
        <v>1.4604411414696639E-2</v>
      </c>
    </row>
    <row r="183" spans="1:5" x14ac:dyDescent="0.35">
      <c r="A183" t="s">
        <v>183</v>
      </c>
      <c r="B183" s="1">
        <v>1.8</v>
      </c>
      <c r="C183" s="1">
        <v>1.80682909488678</v>
      </c>
      <c r="D183" s="1">
        <f t="shared" si="4"/>
        <v>6.8290948867799628E-3</v>
      </c>
      <c r="E183" s="1">
        <f t="shared" si="5"/>
        <v>4.6636536972644232E-5</v>
      </c>
    </row>
    <row r="184" spans="1:5" x14ac:dyDescent="0.35">
      <c r="A184" t="s">
        <v>184</v>
      </c>
      <c r="B184" s="1">
        <v>2.2400000000000002</v>
      </c>
      <c r="C184" s="1">
        <v>2.3387899398803711</v>
      </c>
      <c r="D184" s="1">
        <f t="shared" si="4"/>
        <v>9.8789939880370881E-2</v>
      </c>
      <c r="E184" s="1">
        <f t="shared" si="5"/>
        <v>9.7594522215672923E-3</v>
      </c>
    </row>
    <row r="185" spans="1:5" x14ac:dyDescent="0.35">
      <c r="A185" t="s">
        <v>185</v>
      </c>
      <c r="B185" s="1">
        <v>1.79</v>
      </c>
      <c r="C185" s="1">
        <v>1.777290344238281</v>
      </c>
      <c r="D185" s="1">
        <f t="shared" si="4"/>
        <v>1.2709655761719008E-2</v>
      </c>
      <c r="E185" s="1">
        <f t="shared" si="5"/>
        <v>1.6153534958139717E-4</v>
      </c>
    </row>
    <row r="186" spans="1:5" x14ac:dyDescent="0.35">
      <c r="A186" t="s">
        <v>186</v>
      </c>
      <c r="B186" s="1">
        <v>2.34</v>
      </c>
      <c r="C186" s="1">
        <v>2.3211295604705811</v>
      </c>
      <c r="D186" s="1">
        <f t="shared" si="4"/>
        <v>1.8870439529418803E-2</v>
      </c>
      <c r="E186" s="1">
        <f t="shared" si="5"/>
        <v>3.5609348803345174E-4</v>
      </c>
    </row>
    <row r="187" spans="1:5" x14ac:dyDescent="0.35">
      <c r="A187" t="s">
        <v>187</v>
      </c>
      <c r="B187" s="1">
        <v>3.59</v>
      </c>
      <c r="C187" s="1">
        <v>3.74918532371521</v>
      </c>
      <c r="D187" s="1">
        <f t="shared" si="4"/>
        <v>0.1591853237152101</v>
      </c>
      <c r="E187" s="1">
        <f t="shared" si="5"/>
        <v>2.5339967286316233E-2</v>
      </c>
    </row>
    <row r="188" spans="1:5" x14ac:dyDescent="0.35">
      <c r="A188" t="s">
        <v>188</v>
      </c>
      <c r="B188" s="1">
        <v>3.87</v>
      </c>
      <c r="C188" s="1">
        <v>3.913561105728149</v>
      </c>
      <c r="D188" s="1">
        <f t="shared" si="4"/>
        <v>4.3561105728148863E-2</v>
      </c>
      <c r="E188" s="1">
        <f t="shared" si="5"/>
        <v>1.8975699322589638E-3</v>
      </c>
    </row>
    <row r="189" spans="1:5" x14ac:dyDescent="0.35">
      <c r="A189" t="s">
        <v>189</v>
      </c>
      <c r="B189" s="1">
        <v>1.67</v>
      </c>
      <c r="C189" s="1">
        <v>1.7435982227325439</v>
      </c>
      <c r="D189" s="1">
        <f t="shared" si="4"/>
        <v>7.3598222732544016E-2</v>
      </c>
      <c r="E189" s="1">
        <f t="shared" si="5"/>
        <v>5.4166983893891591E-3</v>
      </c>
    </row>
    <row r="190" spans="1:5" x14ac:dyDescent="0.35">
      <c r="A190" t="s">
        <v>190</v>
      </c>
      <c r="B190" s="1">
        <v>3.33</v>
      </c>
      <c r="C190" s="1">
        <v>3.113580703735352</v>
      </c>
      <c r="D190" s="1">
        <f t="shared" si="4"/>
        <v>0.21641929626464806</v>
      </c>
      <c r="E190" s="1">
        <f t="shared" si="5"/>
        <v>4.683731179568551E-2</v>
      </c>
    </row>
    <row r="191" spans="1:5" x14ac:dyDescent="0.35">
      <c r="A191" t="s">
        <v>191</v>
      </c>
      <c r="B191" s="1">
        <v>3.61</v>
      </c>
      <c r="C191" s="1">
        <v>3.715146541595459</v>
      </c>
      <c r="D191" s="1">
        <f t="shared" si="4"/>
        <v>0.10514654159545911</v>
      </c>
      <c r="E191" s="1">
        <f t="shared" si="5"/>
        <v>1.1055795209485613E-2</v>
      </c>
    </row>
    <row r="192" spans="1:5" x14ac:dyDescent="0.35">
      <c r="A192" t="s">
        <v>192</v>
      </c>
      <c r="B192" s="1">
        <v>4.12</v>
      </c>
      <c r="C192" s="1">
        <v>4.0853161811828613</v>
      </c>
      <c r="D192" s="1">
        <f t="shared" si="4"/>
        <v>3.4683818817138778E-2</v>
      </c>
      <c r="E192" s="1">
        <f t="shared" si="5"/>
        <v>1.20296728774011E-3</v>
      </c>
    </row>
    <row r="193" spans="1:5" x14ac:dyDescent="0.35">
      <c r="A193" t="s">
        <v>193</v>
      </c>
      <c r="B193" s="1">
        <v>2.76</v>
      </c>
      <c r="C193" s="1">
        <v>3.3425979614257808</v>
      </c>
      <c r="D193" s="1">
        <f t="shared" si="4"/>
        <v>0.58259796142578102</v>
      </c>
      <c r="E193" s="1">
        <f t="shared" si="5"/>
        <v>0.33942038465747582</v>
      </c>
    </row>
    <row r="194" spans="1:5" x14ac:dyDescent="0.35">
      <c r="A194" t="s">
        <v>194</v>
      </c>
      <c r="B194" s="1">
        <v>2.98</v>
      </c>
      <c r="C194" s="1">
        <v>3.4950482845306401</v>
      </c>
      <c r="D194" s="1">
        <f t="shared" si="4"/>
        <v>0.51504828453064011</v>
      </c>
      <c r="E194" s="1">
        <f t="shared" si="5"/>
        <v>0.26527473539795521</v>
      </c>
    </row>
    <row r="195" spans="1:5" x14ac:dyDescent="0.35">
      <c r="A195" t="s">
        <v>195</v>
      </c>
      <c r="B195" s="1">
        <v>1.23</v>
      </c>
      <c r="C195" s="1">
        <v>1.36489474773407</v>
      </c>
      <c r="D195" s="1">
        <f t="shared" ref="D195:D258" si="6">ABS(B195-C195)</f>
        <v>0.13489474773407006</v>
      </c>
      <c r="E195" s="1">
        <f t="shared" ref="E195:E258" si="7">(B195-C195)^2</f>
        <v>1.8196592966238399E-2</v>
      </c>
    </row>
    <row r="196" spans="1:5" x14ac:dyDescent="0.35">
      <c r="A196" t="s">
        <v>196</v>
      </c>
      <c r="B196" s="1">
        <v>1.52</v>
      </c>
      <c r="C196" s="1">
        <v>1.663090705871582</v>
      </c>
      <c r="D196" s="1">
        <f t="shared" si="6"/>
        <v>0.14309070587158201</v>
      </c>
      <c r="E196" s="1">
        <f t="shared" si="7"/>
        <v>2.0474950106827594E-2</v>
      </c>
    </row>
    <row r="197" spans="1:5" x14ac:dyDescent="0.35">
      <c r="A197" t="s">
        <v>197</v>
      </c>
      <c r="B197" s="1">
        <v>1.53</v>
      </c>
      <c r="C197" s="1">
        <v>1.802054286003113</v>
      </c>
      <c r="D197" s="1">
        <f t="shared" si="6"/>
        <v>0.27205428600311299</v>
      </c>
      <c r="E197" s="1">
        <f t="shared" si="7"/>
        <v>7.40135345326636E-2</v>
      </c>
    </row>
    <row r="198" spans="1:5" x14ac:dyDescent="0.35">
      <c r="A198" t="s">
        <v>198</v>
      </c>
      <c r="B198" s="1">
        <v>1.74</v>
      </c>
      <c r="C198" s="1">
        <v>2.2725389003753662</v>
      </c>
      <c r="D198" s="1">
        <f t="shared" si="6"/>
        <v>0.53253890037536622</v>
      </c>
      <c r="E198" s="1">
        <f t="shared" si="7"/>
        <v>0.28359768041300421</v>
      </c>
    </row>
    <row r="199" spans="1:5" x14ac:dyDescent="0.35">
      <c r="A199" t="s">
        <v>199</v>
      </c>
      <c r="B199" s="1">
        <v>1.79</v>
      </c>
      <c r="C199" s="1">
        <v>1.937324166297913</v>
      </c>
      <c r="D199" s="1">
        <f t="shared" si="6"/>
        <v>0.14732416629791301</v>
      </c>
      <c r="E199" s="1">
        <f t="shared" si="7"/>
        <v>2.1704409975375125E-2</v>
      </c>
    </row>
    <row r="200" spans="1:5" x14ac:dyDescent="0.35">
      <c r="A200" t="s">
        <v>200</v>
      </c>
      <c r="B200" s="1">
        <v>3.95</v>
      </c>
      <c r="C200" s="1">
        <v>3.3012139797210689</v>
      </c>
      <c r="D200" s="1">
        <f t="shared" si="6"/>
        <v>0.64878602027893129</v>
      </c>
      <c r="E200" s="1">
        <f t="shared" si="7"/>
        <v>0.42092330010937384</v>
      </c>
    </row>
    <row r="201" spans="1:5" x14ac:dyDescent="0.35">
      <c r="A201" t="s">
        <v>201</v>
      </c>
      <c r="B201" s="1">
        <v>4.2699999999999996</v>
      </c>
      <c r="C201" s="1">
        <v>3.9600710868835449</v>
      </c>
      <c r="D201" s="1">
        <f t="shared" si="6"/>
        <v>0.30992891311645465</v>
      </c>
      <c r="E201" s="1">
        <f t="shared" si="7"/>
        <v>9.6055931185546894E-2</v>
      </c>
    </row>
    <row r="202" spans="1:5" x14ac:dyDescent="0.35">
      <c r="A202" t="s">
        <v>202</v>
      </c>
      <c r="B202" s="1">
        <v>4.2</v>
      </c>
      <c r="C202" s="1">
        <v>4.2349252700805664</v>
      </c>
      <c r="D202" s="1">
        <f t="shared" si="6"/>
        <v>3.4925270080566229E-2</v>
      </c>
      <c r="E202" s="1">
        <f t="shared" si="7"/>
        <v>1.2197744902004946E-3</v>
      </c>
    </row>
    <row r="203" spans="1:5" x14ac:dyDescent="0.35">
      <c r="A203" t="s">
        <v>203</v>
      </c>
      <c r="B203" s="1">
        <v>2.75</v>
      </c>
      <c r="C203" s="1">
        <v>2.472692728042603</v>
      </c>
      <c r="D203" s="1">
        <f t="shared" si="6"/>
        <v>0.27730727195739702</v>
      </c>
      <c r="E203" s="1">
        <f t="shared" si="7"/>
        <v>7.6899323080453746E-2</v>
      </c>
    </row>
    <row r="204" spans="1:5" x14ac:dyDescent="0.35">
      <c r="A204" t="s">
        <v>204</v>
      </c>
      <c r="B204" s="1">
        <v>3.84</v>
      </c>
      <c r="C204" s="1">
        <v>3.3993973731994629</v>
      </c>
      <c r="D204" s="1">
        <f t="shared" si="6"/>
        <v>0.44060262680053697</v>
      </c>
      <c r="E204" s="1">
        <f t="shared" si="7"/>
        <v>0.19413067474353327</v>
      </c>
    </row>
    <row r="205" spans="1:5" x14ac:dyDescent="0.35">
      <c r="A205" t="s">
        <v>205</v>
      </c>
      <c r="B205" s="1">
        <v>4.24</v>
      </c>
      <c r="C205" s="1">
        <v>3.869208812713623</v>
      </c>
      <c r="D205" s="1">
        <f t="shared" si="6"/>
        <v>0.37079118728637717</v>
      </c>
      <c r="E205" s="1">
        <f t="shared" si="7"/>
        <v>0.13748610456924124</v>
      </c>
    </row>
    <row r="206" spans="1:5" x14ac:dyDescent="0.35">
      <c r="A206" t="s">
        <v>206</v>
      </c>
      <c r="B206" s="1">
        <v>4.37</v>
      </c>
      <c r="C206" s="1">
        <v>4.2794156074523926</v>
      </c>
      <c r="D206" s="1">
        <f t="shared" si="6"/>
        <v>9.0584392547607528E-2</v>
      </c>
      <c r="E206" s="1">
        <f t="shared" si="7"/>
        <v>8.2055321732190552E-3</v>
      </c>
    </row>
    <row r="207" spans="1:5" x14ac:dyDescent="0.35">
      <c r="A207" t="s">
        <v>207</v>
      </c>
      <c r="B207" s="1">
        <v>2.39</v>
      </c>
      <c r="C207" s="1">
        <v>1.79544997215271</v>
      </c>
      <c r="D207" s="1">
        <f t="shared" si="6"/>
        <v>0.59455002784729016</v>
      </c>
      <c r="E207" s="1">
        <f t="shared" si="7"/>
        <v>0.35348973561321351</v>
      </c>
    </row>
    <row r="208" spans="1:5" x14ac:dyDescent="0.35">
      <c r="A208" t="s">
        <v>208</v>
      </c>
      <c r="B208" s="1">
        <v>2.0499999999999998</v>
      </c>
      <c r="C208" s="1">
        <v>1.710329055786133</v>
      </c>
      <c r="D208" s="1">
        <f t="shared" si="6"/>
        <v>0.33967094421386679</v>
      </c>
      <c r="E208" s="1">
        <f t="shared" si="7"/>
        <v>0.1153763503431398</v>
      </c>
    </row>
    <row r="209" spans="1:5" x14ac:dyDescent="0.35">
      <c r="A209" t="s">
        <v>209</v>
      </c>
      <c r="B209" s="1">
        <v>3.9</v>
      </c>
      <c r="C209" s="1">
        <v>3.6067883968353271</v>
      </c>
      <c r="D209" s="1">
        <f t="shared" si="6"/>
        <v>0.29321160316467276</v>
      </c>
      <c r="E209" s="1">
        <f t="shared" si="7"/>
        <v>8.5973044230397533E-2</v>
      </c>
    </row>
    <row r="210" spans="1:5" x14ac:dyDescent="0.35">
      <c r="A210" t="s">
        <v>210</v>
      </c>
      <c r="B210" s="1">
        <v>2.42</v>
      </c>
      <c r="C210" s="1">
        <v>2.131719589233398</v>
      </c>
      <c r="D210" s="1">
        <f t="shared" si="6"/>
        <v>0.28828041076660194</v>
      </c>
      <c r="E210" s="1">
        <f t="shared" si="7"/>
        <v>8.310559523176074E-2</v>
      </c>
    </row>
    <row r="211" spans="1:5" x14ac:dyDescent="0.35">
      <c r="A211" t="s">
        <v>211</v>
      </c>
      <c r="B211" s="1">
        <v>3.5</v>
      </c>
      <c r="C211" s="1">
        <v>3.5895378589630131</v>
      </c>
      <c r="D211" s="1">
        <f t="shared" si="6"/>
        <v>8.9537858963013139E-2</v>
      </c>
      <c r="E211" s="1">
        <f t="shared" si="7"/>
        <v>8.0170281876804327E-3</v>
      </c>
    </row>
    <row r="212" spans="1:5" x14ac:dyDescent="0.35">
      <c r="A212" t="s">
        <v>212</v>
      </c>
      <c r="B212" s="1">
        <v>2.63</v>
      </c>
      <c r="C212" s="1">
        <v>3.3152449131011958</v>
      </c>
      <c r="D212" s="1">
        <f t="shared" si="6"/>
        <v>0.68524491310119595</v>
      </c>
      <c r="E212" s="1">
        <f t="shared" si="7"/>
        <v>0.46956059093106561</v>
      </c>
    </row>
    <row r="213" spans="1:5" x14ac:dyDescent="0.35">
      <c r="A213" t="s">
        <v>213</v>
      </c>
      <c r="B213" s="1">
        <v>2.68</v>
      </c>
      <c r="C213" s="1">
        <v>3.4637138843536381</v>
      </c>
      <c r="D213" s="1">
        <f t="shared" si="6"/>
        <v>0.78371388435363798</v>
      </c>
      <c r="E213" s="1">
        <f t="shared" si="7"/>
        <v>0.61420745252866749</v>
      </c>
    </row>
    <row r="214" spans="1:5" x14ac:dyDescent="0.35">
      <c r="A214" t="s">
        <v>214</v>
      </c>
      <c r="B214" s="1">
        <v>1.23</v>
      </c>
      <c r="C214" s="1">
        <v>1.2638868093490601</v>
      </c>
      <c r="D214" s="1">
        <f t="shared" si="6"/>
        <v>3.3886809349060076E-2</v>
      </c>
      <c r="E214" s="1">
        <f t="shared" si="7"/>
        <v>1.1483158478595454E-3</v>
      </c>
    </row>
    <row r="215" spans="1:5" x14ac:dyDescent="0.35">
      <c r="A215" t="s">
        <v>215</v>
      </c>
      <c r="B215" s="1">
        <v>1.25</v>
      </c>
      <c r="C215" s="1">
        <v>1.3150714635848999</v>
      </c>
      <c r="D215" s="1">
        <f t="shared" si="6"/>
        <v>6.5071463584899902E-2</v>
      </c>
      <c r="E215" s="1">
        <f t="shared" si="7"/>
        <v>4.2342953730809541E-3</v>
      </c>
    </row>
    <row r="216" spans="1:5" x14ac:dyDescent="0.35">
      <c r="A216" t="s">
        <v>216</v>
      </c>
      <c r="B216" s="1">
        <v>1.62</v>
      </c>
      <c r="C216" s="1">
        <v>1.6129220724105831</v>
      </c>
      <c r="D216" s="1">
        <f t="shared" si="6"/>
        <v>7.0779275894170546E-3</v>
      </c>
      <c r="E216" s="1">
        <f t="shared" si="7"/>
        <v>5.0097058961031117E-5</v>
      </c>
    </row>
    <row r="217" spans="1:5" x14ac:dyDescent="0.35">
      <c r="A217" t="s">
        <v>217</v>
      </c>
      <c r="B217" s="1">
        <v>1.72</v>
      </c>
      <c r="C217" s="1">
        <v>2.1122786998748779</v>
      </c>
      <c r="D217" s="1">
        <f t="shared" si="6"/>
        <v>0.39227869987487796</v>
      </c>
      <c r="E217" s="1">
        <f t="shared" si="7"/>
        <v>0.15388257837552458</v>
      </c>
    </row>
    <row r="218" spans="1:5" x14ac:dyDescent="0.35">
      <c r="A218" t="s">
        <v>218</v>
      </c>
      <c r="B218" s="1">
        <v>3.17</v>
      </c>
      <c r="C218" s="1">
        <v>2.8860492706298828</v>
      </c>
      <c r="D218" s="1">
        <f t="shared" si="6"/>
        <v>0.28395072937011712</v>
      </c>
      <c r="E218" s="1">
        <f t="shared" si="7"/>
        <v>8.062801670982149E-2</v>
      </c>
    </row>
    <row r="219" spans="1:5" x14ac:dyDescent="0.35">
      <c r="A219" t="s">
        <v>219</v>
      </c>
      <c r="B219" s="1">
        <v>3.84</v>
      </c>
      <c r="C219" s="1">
        <v>3.7481071949005131</v>
      </c>
      <c r="D219" s="1">
        <f t="shared" si="6"/>
        <v>9.1892805099486718E-2</v>
      </c>
      <c r="E219" s="1">
        <f t="shared" si="7"/>
        <v>8.444287629052253E-3</v>
      </c>
    </row>
    <row r="220" spans="1:5" x14ac:dyDescent="0.35">
      <c r="A220" t="s">
        <v>220</v>
      </c>
      <c r="B220" s="1">
        <v>4.34</v>
      </c>
      <c r="C220" s="1">
        <v>4.3710217475891113</v>
      </c>
      <c r="D220" s="1">
        <f t="shared" si="6"/>
        <v>3.102174758911147E-2</v>
      </c>
      <c r="E220" s="1">
        <f t="shared" si="7"/>
        <v>9.6234882348254335E-4</v>
      </c>
    </row>
    <row r="221" spans="1:5" x14ac:dyDescent="0.35">
      <c r="A221" t="s">
        <v>221</v>
      </c>
      <c r="B221" s="1">
        <v>4.45</v>
      </c>
      <c r="C221" s="1">
        <v>4.697293758392334</v>
      </c>
      <c r="D221" s="1">
        <f t="shared" si="6"/>
        <v>0.24729375839233381</v>
      </c>
      <c r="E221" s="1">
        <f t="shared" si="7"/>
        <v>6.1154202939805967E-2</v>
      </c>
    </row>
    <row r="222" spans="1:5" x14ac:dyDescent="0.35">
      <c r="A222" t="s">
        <v>222</v>
      </c>
      <c r="B222" s="1">
        <v>3.17</v>
      </c>
      <c r="C222" s="1">
        <v>2.8839530944824219</v>
      </c>
      <c r="D222" s="1">
        <f t="shared" si="6"/>
        <v>0.28604690551757805</v>
      </c>
      <c r="E222" s="1">
        <f t="shared" si="7"/>
        <v>8.1822832156182232E-2</v>
      </c>
    </row>
    <row r="223" spans="1:5" x14ac:dyDescent="0.35">
      <c r="A223" t="s">
        <v>223</v>
      </c>
      <c r="B223" s="1">
        <v>3.68</v>
      </c>
      <c r="C223" s="1">
        <v>3.746559858322144</v>
      </c>
      <c r="D223" s="1">
        <f t="shared" si="6"/>
        <v>6.6559858322143839E-2</v>
      </c>
      <c r="E223" s="1">
        <f t="shared" si="7"/>
        <v>4.4302147398638603E-3</v>
      </c>
    </row>
    <row r="224" spans="1:5" x14ac:dyDescent="0.35">
      <c r="A224" t="s">
        <v>224</v>
      </c>
      <c r="B224" s="1">
        <v>3.97</v>
      </c>
      <c r="C224" s="1">
        <v>4.1088042259216309</v>
      </c>
      <c r="D224" s="1">
        <f t="shared" si="6"/>
        <v>0.13880422592163066</v>
      </c>
      <c r="E224" s="1">
        <f t="shared" si="7"/>
        <v>1.9266613133703085E-2</v>
      </c>
    </row>
    <row r="225" spans="1:5" x14ac:dyDescent="0.35">
      <c r="A225" t="s">
        <v>225</v>
      </c>
      <c r="B225" s="1">
        <v>4.3899999999999997</v>
      </c>
      <c r="C225" s="1">
        <v>4.5006918907165527</v>
      </c>
      <c r="D225" s="1">
        <f t="shared" si="6"/>
        <v>0.11069189071655305</v>
      </c>
      <c r="E225" s="1">
        <f t="shared" si="7"/>
        <v>1.2252694670405325E-2</v>
      </c>
    </row>
    <row r="226" spans="1:5" x14ac:dyDescent="0.35">
      <c r="A226" t="s">
        <v>226</v>
      </c>
      <c r="B226" s="1">
        <v>4.38</v>
      </c>
      <c r="C226" s="1">
        <v>4.5907168388366699</v>
      </c>
      <c r="D226" s="1">
        <f t="shared" si="6"/>
        <v>0.21071683883667003</v>
      </c>
      <c r="E226" s="1">
        <f t="shared" si="7"/>
        <v>4.440158616931917E-2</v>
      </c>
    </row>
    <row r="227" spans="1:5" x14ac:dyDescent="0.35">
      <c r="A227" t="s">
        <v>227</v>
      </c>
      <c r="B227" s="1">
        <v>3.96</v>
      </c>
      <c r="C227" s="1">
        <v>3.9542994499206539</v>
      </c>
      <c r="D227" s="1">
        <f t="shared" si="6"/>
        <v>5.7005500793461117E-3</v>
      </c>
      <c r="E227" s="1">
        <f t="shared" si="7"/>
        <v>3.2496271207132959E-5</v>
      </c>
    </row>
    <row r="228" spans="1:5" x14ac:dyDescent="0.35">
      <c r="A228" t="s">
        <v>228</v>
      </c>
      <c r="B228" s="1">
        <v>4.2</v>
      </c>
      <c r="C228" s="1">
        <v>4.2653946876525879</v>
      </c>
      <c r="D228" s="1">
        <f t="shared" si="6"/>
        <v>6.5394687652587713E-2</v>
      </c>
      <c r="E228" s="1">
        <f t="shared" si="7"/>
        <v>4.2764651731795082E-3</v>
      </c>
    </row>
    <row r="229" spans="1:5" x14ac:dyDescent="0.35">
      <c r="A229" t="s">
        <v>229</v>
      </c>
      <c r="B229" s="1">
        <v>3.17</v>
      </c>
      <c r="C229" s="1">
        <v>2.8394956588745122</v>
      </c>
      <c r="D229" s="1">
        <f t="shared" si="6"/>
        <v>0.33050434112548777</v>
      </c>
      <c r="E229" s="1">
        <f t="shared" si="7"/>
        <v>0.10923311950279278</v>
      </c>
    </row>
    <row r="230" spans="1:5" x14ac:dyDescent="0.35">
      <c r="A230" t="s">
        <v>230</v>
      </c>
      <c r="B230" s="1">
        <v>4.21</v>
      </c>
      <c r="C230" s="1">
        <v>4.5448827743530273</v>
      </c>
      <c r="D230" s="1">
        <f t="shared" si="6"/>
        <v>0.33488277435302738</v>
      </c>
      <c r="E230" s="1">
        <f t="shared" si="7"/>
        <v>0.11214647255838066</v>
      </c>
    </row>
    <row r="231" spans="1:5" x14ac:dyDescent="0.35">
      <c r="A231" t="s">
        <v>231</v>
      </c>
      <c r="B231" s="1">
        <v>3.77</v>
      </c>
      <c r="C231" s="1">
        <v>3.4398455619812012</v>
      </c>
      <c r="D231" s="1">
        <f t="shared" si="6"/>
        <v>0.33015443801879885</v>
      </c>
      <c r="E231" s="1">
        <f t="shared" si="7"/>
        <v>0.1090019529435089</v>
      </c>
    </row>
    <row r="232" spans="1:5" x14ac:dyDescent="0.35">
      <c r="A232" t="s">
        <v>232</v>
      </c>
      <c r="B232" s="1">
        <v>3.81</v>
      </c>
      <c r="C232" s="1">
        <v>3.5523500442504878</v>
      </c>
      <c r="D232" s="1">
        <f t="shared" si="6"/>
        <v>0.25764995574951222</v>
      </c>
      <c r="E232" s="1">
        <f t="shared" si="7"/>
        <v>6.6383499697725598E-2</v>
      </c>
    </row>
    <row r="233" spans="1:5" x14ac:dyDescent="0.35">
      <c r="A233" t="s">
        <v>233</v>
      </c>
      <c r="B233" s="1">
        <v>3.35</v>
      </c>
      <c r="C233" s="1">
        <v>3.7895667552947998</v>
      </c>
      <c r="D233" s="1">
        <f t="shared" si="6"/>
        <v>0.43956675529479972</v>
      </c>
      <c r="E233" s="1">
        <f t="shared" si="7"/>
        <v>0.19321893236039833</v>
      </c>
    </row>
    <row r="234" spans="1:5" x14ac:dyDescent="0.35">
      <c r="A234" t="s">
        <v>234</v>
      </c>
      <c r="B234" s="1">
        <v>1.53</v>
      </c>
      <c r="C234" s="1">
        <v>1.3830441236495969</v>
      </c>
      <c r="D234" s="1">
        <f t="shared" si="6"/>
        <v>0.14695587635040308</v>
      </c>
      <c r="E234" s="1">
        <f t="shared" si="7"/>
        <v>2.1596029593914958E-2</v>
      </c>
    </row>
    <row r="235" spans="1:5" x14ac:dyDescent="0.35">
      <c r="A235" t="s">
        <v>235</v>
      </c>
      <c r="B235" s="1">
        <v>1.63</v>
      </c>
      <c r="C235" s="1">
        <v>1.5131187438964839</v>
      </c>
      <c r="D235" s="1">
        <f t="shared" si="6"/>
        <v>0.11688125610351596</v>
      </c>
      <c r="E235" s="1">
        <f t="shared" si="7"/>
        <v>1.3661228028335687E-2</v>
      </c>
    </row>
    <row r="236" spans="1:5" x14ac:dyDescent="0.35">
      <c r="A236" t="s">
        <v>236</v>
      </c>
      <c r="B236" s="1">
        <v>2.54</v>
      </c>
      <c r="C236" s="1">
        <v>1.97611391544342</v>
      </c>
      <c r="D236" s="1">
        <f t="shared" si="6"/>
        <v>0.56388608455658007</v>
      </c>
      <c r="E236" s="1">
        <f t="shared" si="7"/>
        <v>0.31796751635655057</v>
      </c>
    </row>
    <row r="237" spans="1:5" x14ac:dyDescent="0.35">
      <c r="A237" t="s">
        <v>237</v>
      </c>
      <c r="B237" s="1">
        <v>2.39</v>
      </c>
      <c r="C237" s="1">
        <v>2.599250316619873</v>
      </c>
      <c r="D237" s="1">
        <f t="shared" si="6"/>
        <v>0.20925031661987292</v>
      </c>
      <c r="E237" s="1">
        <f t="shared" si="7"/>
        <v>4.3785695005517065E-2</v>
      </c>
    </row>
    <row r="238" spans="1:5" x14ac:dyDescent="0.35">
      <c r="A238" t="s">
        <v>238</v>
      </c>
      <c r="B238" s="1">
        <v>3.39</v>
      </c>
      <c r="C238" s="1">
        <v>3.610506534576416</v>
      </c>
      <c r="D238" s="1">
        <f t="shared" si="6"/>
        <v>0.22050653457641589</v>
      </c>
      <c r="E238" s="1">
        <f t="shared" si="7"/>
        <v>4.8623131790900095E-2</v>
      </c>
    </row>
    <row r="239" spans="1:5" x14ac:dyDescent="0.35">
      <c r="A239" t="s">
        <v>239</v>
      </c>
      <c r="B239" s="1">
        <v>4.3499999999999996</v>
      </c>
      <c r="C239" s="1">
        <v>3.8981518745422359</v>
      </c>
      <c r="D239" s="1">
        <f t="shared" si="6"/>
        <v>0.45184812545776376</v>
      </c>
      <c r="E239" s="1">
        <f t="shared" si="7"/>
        <v>0.20416672847969503</v>
      </c>
    </row>
    <row r="240" spans="1:5" x14ac:dyDescent="0.35">
      <c r="A240" t="s">
        <v>240</v>
      </c>
      <c r="B240" s="1">
        <v>4.29</v>
      </c>
      <c r="C240" s="1">
        <v>4.3163108825683594</v>
      </c>
      <c r="D240" s="1">
        <f t="shared" si="6"/>
        <v>2.6310882568359339E-2</v>
      </c>
      <c r="E240" s="1">
        <f t="shared" si="7"/>
        <v>6.922625415259954E-4</v>
      </c>
    </row>
    <row r="241" spans="1:5" x14ac:dyDescent="0.35">
      <c r="A241" t="s">
        <v>241</v>
      </c>
      <c r="B241" s="1">
        <v>4.41</v>
      </c>
      <c r="C241" s="1">
        <v>4.6264133453369141</v>
      </c>
      <c r="D241" s="1">
        <f t="shared" si="6"/>
        <v>0.21641334533691392</v>
      </c>
      <c r="E241" s="1">
        <f t="shared" si="7"/>
        <v>4.6834736039914365E-2</v>
      </c>
    </row>
    <row r="242" spans="1:5" x14ac:dyDescent="0.35">
      <c r="A242" t="s">
        <v>242</v>
      </c>
      <c r="B242" s="1">
        <v>2.58</v>
      </c>
      <c r="C242" s="1">
        <v>2.7005589008331299</v>
      </c>
      <c r="D242" s="1">
        <f t="shared" si="6"/>
        <v>0.12055890083312981</v>
      </c>
      <c r="E242" s="1">
        <f t="shared" si="7"/>
        <v>1.4534448570092428E-2</v>
      </c>
    </row>
    <row r="243" spans="1:5" x14ac:dyDescent="0.35">
      <c r="A243" t="s">
        <v>243</v>
      </c>
      <c r="B243" s="1">
        <v>3.81</v>
      </c>
      <c r="C243" s="1">
        <v>3.7066268920898442</v>
      </c>
      <c r="D243" s="1">
        <f t="shared" si="6"/>
        <v>0.10337310791015586</v>
      </c>
      <c r="E243" s="1">
        <f t="shared" si="7"/>
        <v>1.0685999439004728E-2</v>
      </c>
    </row>
    <row r="244" spans="1:5" x14ac:dyDescent="0.35">
      <c r="A244" t="s">
        <v>244</v>
      </c>
      <c r="B244" s="1">
        <v>2.17</v>
      </c>
      <c r="C244" s="1">
        <v>1.9342426061630249</v>
      </c>
      <c r="D244" s="1">
        <f t="shared" si="6"/>
        <v>0.23575739383697503</v>
      </c>
      <c r="E244" s="1">
        <f t="shared" si="7"/>
        <v>5.5581548748802549E-2</v>
      </c>
    </row>
    <row r="245" spans="1:5" x14ac:dyDescent="0.35">
      <c r="A245" t="s">
        <v>245</v>
      </c>
      <c r="B245" s="1">
        <v>3.95</v>
      </c>
      <c r="C245" s="1">
        <v>3.6351139545440669</v>
      </c>
      <c r="D245" s="1">
        <f t="shared" si="6"/>
        <v>0.31488604545593324</v>
      </c>
      <c r="E245" s="1">
        <f t="shared" si="7"/>
        <v>9.9153221622876056E-2</v>
      </c>
    </row>
    <row r="246" spans="1:5" x14ac:dyDescent="0.35">
      <c r="A246" t="s">
        <v>246</v>
      </c>
      <c r="B246" s="1">
        <v>3.53</v>
      </c>
      <c r="C246" s="1">
        <v>3.9520611763000488</v>
      </c>
      <c r="D246" s="1">
        <f t="shared" si="6"/>
        <v>0.42206117630004902</v>
      </c>
      <c r="E246" s="1">
        <f t="shared" si="7"/>
        <v>0.17813563653978107</v>
      </c>
    </row>
    <row r="247" spans="1:5" x14ac:dyDescent="0.35">
      <c r="A247" t="s">
        <v>247</v>
      </c>
      <c r="B247" s="1">
        <v>2.0099999999999998</v>
      </c>
      <c r="C247" s="1">
        <v>1.851745009422302</v>
      </c>
      <c r="D247" s="1">
        <f t="shared" si="6"/>
        <v>0.15825499057769776</v>
      </c>
      <c r="E247" s="1">
        <f t="shared" si="7"/>
        <v>2.5044642042747207E-2</v>
      </c>
    </row>
    <row r="248" spans="1:5" x14ac:dyDescent="0.35">
      <c r="A248" t="s">
        <v>248</v>
      </c>
      <c r="B248" s="1">
        <v>2.65</v>
      </c>
      <c r="C248" s="1">
        <v>2.215052604675293</v>
      </c>
      <c r="D248" s="1">
        <f t="shared" si="6"/>
        <v>0.43494739532470694</v>
      </c>
      <c r="E248" s="1">
        <f t="shared" si="7"/>
        <v>0.1891792366997469</v>
      </c>
    </row>
    <row r="249" spans="1:5" x14ac:dyDescent="0.35">
      <c r="A249" t="s">
        <v>249</v>
      </c>
      <c r="B249" s="1">
        <v>2.06</v>
      </c>
      <c r="C249" s="1">
        <v>2.3789899349212651</v>
      </c>
      <c r="D249" s="1">
        <f t="shared" si="6"/>
        <v>0.31898993492126504</v>
      </c>
      <c r="E249" s="1">
        <f t="shared" si="7"/>
        <v>0.10175457858107291</v>
      </c>
    </row>
    <row r="250" spans="1:5" x14ac:dyDescent="0.35">
      <c r="A250" t="s">
        <v>250</v>
      </c>
      <c r="B250" s="1">
        <v>3.29</v>
      </c>
      <c r="C250" s="1">
        <v>3.421769380569458</v>
      </c>
      <c r="D250" s="1">
        <f t="shared" si="6"/>
        <v>0.13176938056945797</v>
      </c>
      <c r="E250" s="1">
        <f t="shared" si="7"/>
        <v>1.7363169655658647E-2</v>
      </c>
    </row>
    <row r="251" spans="1:5" x14ac:dyDescent="0.35">
      <c r="A251" t="s">
        <v>251</v>
      </c>
      <c r="B251" s="1">
        <v>3.52</v>
      </c>
      <c r="C251" s="1">
        <v>3.606705904006958</v>
      </c>
      <c r="D251" s="1">
        <f t="shared" si="6"/>
        <v>8.670590400695799E-2</v>
      </c>
      <c r="E251" s="1">
        <f t="shared" si="7"/>
        <v>7.5179137896638137E-3</v>
      </c>
    </row>
    <row r="252" spans="1:5" x14ac:dyDescent="0.35">
      <c r="A252" t="s">
        <v>252</v>
      </c>
      <c r="B252" s="1">
        <v>2.48</v>
      </c>
      <c r="C252" s="1">
        <v>1.9626035690307619</v>
      </c>
      <c r="D252" s="1">
        <f t="shared" si="6"/>
        <v>0.51739643096923804</v>
      </c>
      <c r="E252" s="1">
        <f t="shared" si="7"/>
        <v>0.26769906677970551</v>
      </c>
    </row>
    <row r="253" spans="1:5" x14ac:dyDescent="0.35">
      <c r="A253" t="s">
        <v>253</v>
      </c>
      <c r="B253" s="1">
        <v>1.43</v>
      </c>
      <c r="C253" s="1">
        <v>1.378989100456238</v>
      </c>
      <c r="D253" s="1">
        <f t="shared" si="6"/>
        <v>5.1010899543761923E-2</v>
      </c>
      <c r="E253" s="1">
        <f t="shared" si="7"/>
        <v>2.6021118722637702E-3</v>
      </c>
    </row>
    <row r="254" spans="1:5" x14ac:dyDescent="0.35">
      <c r="A254" t="s">
        <v>254</v>
      </c>
      <c r="B254" s="1">
        <v>1.58</v>
      </c>
      <c r="C254" s="1">
        <v>1.6529533863067629</v>
      </c>
      <c r="D254" s="1">
        <f t="shared" si="6"/>
        <v>7.2953386306762846E-2</v>
      </c>
      <c r="E254" s="1">
        <f t="shared" si="7"/>
        <v>5.322196573623773E-3</v>
      </c>
    </row>
    <row r="255" spans="1:5" x14ac:dyDescent="0.35">
      <c r="A255" t="s">
        <v>255</v>
      </c>
      <c r="B255" s="1">
        <v>1.87</v>
      </c>
      <c r="C255" s="1">
        <v>1.7912054061889651</v>
      </c>
      <c r="D255" s="1">
        <f t="shared" si="6"/>
        <v>7.8794593811035041E-2</v>
      </c>
      <c r="E255" s="1">
        <f t="shared" si="7"/>
        <v>6.2085880138460017E-3</v>
      </c>
    </row>
    <row r="256" spans="1:5" x14ac:dyDescent="0.35">
      <c r="A256" t="s">
        <v>256</v>
      </c>
      <c r="B256" s="1">
        <v>1.89</v>
      </c>
      <c r="C256" s="1">
        <v>2.2906370162963872</v>
      </c>
      <c r="D256" s="1">
        <f t="shared" si="6"/>
        <v>0.40063701629638726</v>
      </c>
      <c r="E256" s="1">
        <f t="shared" si="7"/>
        <v>0.16051001882687166</v>
      </c>
    </row>
    <row r="257" spans="1:5" x14ac:dyDescent="0.35">
      <c r="A257" t="s">
        <v>257</v>
      </c>
      <c r="B257" s="1">
        <v>2.17</v>
      </c>
      <c r="C257" s="1">
        <v>2.181627750396729</v>
      </c>
      <c r="D257" s="1">
        <f t="shared" si="6"/>
        <v>1.1627750396729031E-2</v>
      </c>
      <c r="E257" s="1">
        <f t="shared" si="7"/>
        <v>1.3520457928863213E-4</v>
      </c>
    </row>
    <row r="258" spans="1:5" x14ac:dyDescent="0.35">
      <c r="A258" t="s">
        <v>258</v>
      </c>
      <c r="B258" s="1">
        <v>2.5</v>
      </c>
      <c r="C258" s="1">
        <v>3.0514941215515141</v>
      </c>
      <c r="D258" s="1">
        <f t="shared" si="6"/>
        <v>0.55149412155151412</v>
      </c>
      <c r="E258" s="1">
        <f t="shared" si="7"/>
        <v>0.30414576610587624</v>
      </c>
    </row>
    <row r="259" spans="1:5" x14ac:dyDescent="0.35">
      <c r="A259" t="s">
        <v>259</v>
      </c>
      <c r="B259" s="1">
        <v>3.59</v>
      </c>
      <c r="C259" s="1">
        <v>3.5551192760467529</v>
      </c>
      <c r="D259" s="1">
        <f t="shared" ref="D259:D322" si="8">ABS(B259-C259)</f>
        <v>3.4880723953246928E-2</v>
      </c>
      <c r="E259" s="1">
        <f t="shared" ref="E259:E322" si="9">(B259-C259)^2</f>
        <v>1.216664903502614E-3</v>
      </c>
    </row>
    <row r="260" spans="1:5" x14ac:dyDescent="0.35">
      <c r="A260" t="s">
        <v>260</v>
      </c>
      <c r="B260" s="1">
        <v>3.38</v>
      </c>
      <c r="C260" s="1">
        <v>3.7305514812469478</v>
      </c>
      <c r="D260" s="1">
        <f t="shared" si="8"/>
        <v>0.3505514812469479</v>
      </c>
      <c r="E260" s="1">
        <f t="shared" si="9"/>
        <v>0.12288634100442927</v>
      </c>
    </row>
    <row r="261" spans="1:5" x14ac:dyDescent="0.35">
      <c r="A261" t="s">
        <v>261</v>
      </c>
      <c r="B261" s="1">
        <v>1.59</v>
      </c>
      <c r="C261" s="1">
        <v>1.8939106464385991</v>
      </c>
      <c r="D261" s="1">
        <f t="shared" si="8"/>
        <v>0.303910646438599</v>
      </c>
      <c r="E261" s="1">
        <f t="shared" si="9"/>
        <v>9.2361681018727132E-2</v>
      </c>
    </row>
    <row r="262" spans="1:5" x14ac:dyDescent="0.35">
      <c r="A262" t="s">
        <v>262</v>
      </c>
      <c r="B262" s="1">
        <v>2.15</v>
      </c>
      <c r="C262" s="1">
        <v>2.2852408885955811</v>
      </c>
      <c r="D262" s="1">
        <f t="shared" si="8"/>
        <v>0.13524088859558114</v>
      </c>
      <c r="E262" s="1">
        <f t="shared" si="9"/>
        <v>1.8290097948122391E-2</v>
      </c>
    </row>
    <row r="263" spans="1:5" x14ac:dyDescent="0.35">
      <c r="A263" t="s">
        <v>263</v>
      </c>
      <c r="B263" s="1">
        <v>2.69</v>
      </c>
      <c r="C263" s="1">
        <v>3.0901093482971191</v>
      </c>
      <c r="D263" s="1">
        <f t="shared" si="8"/>
        <v>0.40010934829711919</v>
      </c>
      <c r="E263" s="1">
        <f t="shared" si="9"/>
        <v>0.16008749059474545</v>
      </c>
    </row>
    <row r="264" spans="1:5" x14ac:dyDescent="0.35">
      <c r="A264" t="s">
        <v>264</v>
      </c>
      <c r="B264" s="1">
        <v>3.01</v>
      </c>
      <c r="C264" s="1">
        <v>3.3285632133483891</v>
      </c>
      <c r="D264" s="1">
        <f t="shared" si="8"/>
        <v>0.31856321334838933</v>
      </c>
      <c r="E264" s="1">
        <f t="shared" si="9"/>
        <v>0.10148252089885142</v>
      </c>
    </row>
    <row r="265" spans="1:5" x14ac:dyDescent="0.35">
      <c r="A265" t="s">
        <v>265</v>
      </c>
      <c r="B265" s="1">
        <v>1.9</v>
      </c>
      <c r="C265" s="1">
        <v>1.7976729869842529</v>
      </c>
      <c r="D265" s="1">
        <f t="shared" si="8"/>
        <v>0.10232701301574698</v>
      </c>
      <c r="E265" s="1">
        <f t="shared" si="9"/>
        <v>1.0470817592724852E-2</v>
      </c>
    </row>
    <row r="266" spans="1:5" x14ac:dyDescent="0.35">
      <c r="A266" t="s">
        <v>266</v>
      </c>
      <c r="B266" s="1">
        <v>2.27</v>
      </c>
      <c r="C266" s="1">
        <v>1.984455943107605</v>
      </c>
      <c r="D266" s="1">
        <f t="shared" si="8"/>
        <v>0.28554405689239504</v>
      </c>
      <c r="E266" s="1">
        <f t="shared" si="9"/>
        <v>8.1535408426567341E-2</v>
      </c>
    </row>
    <row r="267" spans="1:5" x14ac:dyDescent="0.35">
      <c r="A267" t="s">
        <v>267</v>
      </c>
      <c r="B267" s="1">
        <v>3.09</v>
      </c>
      <c r="C267" s="1">
        <v>3.0111300945281978</v>
      </c>
      <c r="D267" s="1">
        <f t="shared" si="8"/>
        <v>7.886990547180206E-2</v>
      </c>
      <c r="E267" s="1">
        <f t="shared" si="9"/>
        <v>6.2204619891309924E-3</v>
      </c>
    </row>
    <row r="268" spans="1:5" x14ac:dyDescent="0.35">
      <c r="A268" t="s">
        <v>268</v>
      </c>
      <c r="B268" s="1">
        <v>2.63</v>
      </c>
      <c r="C268" s="1">
        <v>2.6999721527099609</v>
      </c>
      <c r="D268" s="1">
        <f t="shared" si="8"/>
        <v>6.9972152709961044E-2</v>
      </c>
      <c r="E268" s="1">
        <f t="shared" si="9"/>
        <v>4.8961021548661089E-3</v>
      </c>
    </row>
    <row r="269" spans="1:5" x14ac:dyDescent="0.35">
      <c r="A269" t="s">
        <v>269</v>
      </c>
      <c r="B269" s="1">
        <v>3.27</v>
      </c>
      <c r="C269" s="1">
        <v>2.609153270721436</v>
      </c>
      <c r="D269" s="1">
        <f t="shared" si="8"/>
        <v>0.66084672927856403</v>
      </c>
      <c r="E269" s="1">
        <f t="shared" si="9"/>
        <v>0.43671839959817571</v>
      </c>
    </row>
    <row r="270" spans="1:5" x14ac:dyDescent="0.35">
      <c r="A270" t="s">
        <v>270</v>
      </c>
      <c r="B270" s="1">
        <v>2.42</v>
      </c>
      <c r="C270" s="1">
        <v>2.373916387557983</v>
      </c>
      <c r="D270" s="1">
        <f t="shared" si="8"/>
        <v>4.6083612442016975E-2</v>
      </c>
      <c r="E270" s="1">
        <f t="shared" si="9"/>
        <v>2.1236993357060217E-3</v>
      </c>
    </row>
    <row r="271" spans="1:5" x14ac:dyDescent="0.35">
      <c r="A271" t="s">
        <v>271</v>
      </c>
      <c r="B271" s="1">
        <v>2.3199999999999998</v>
      </c>
      <c r="C271" s="1">
        <v>2.4403998851776119</v>
      </c>
      <c r="D271" s="1">
        <f t="shared" si="8"/>
        <v>0.12039988517761202</v>
      </c>
      <c r="E271" s="1">
        <f t="shared" si="9"/>
        <v>1.4496132350782159E-2</v>
      </c>
    </row>
    <row r="272" spans="1:5" x14ac:dyDescent="0.35">
      <c r="A272" t="s">
        <v>272</v>
      </c>
      <c r="B272" s="1">
        <v>1.28</v>
      </c>
      <c r="C272" s="1">
        <v>1.2313475608825679</v>
      </c>
      <c r="D272" s="1">
        <f t="shared" si="8"/>
        <v>4.8652439117432111E-2</v>
      </c>
      <c r="E272" s="1">
        <f t="shared" si="9"/>
        <v>2.3670598320754384E-3</v>
      </c>
    </row>
    <row r="273" spans="1:5" x14ac:dyDescent="0.35">
      <c r="A273" t="s">
        <v>273</v>
      </c>
      <c r="B273" s="1">
        <v>1.2</v>
      </c>
      <c r="C273" s="1">
        <v>1.2423722743988039</v>
      </c>
      <c r="D273" s="1">
        <f t="shared" si="8"/>
        <v>4.2372274398803977E-2</v>
      </c>
      <c r="E273" s="1">
        <f t="shared" si="9"/>
        <v>1.7954096377275389E-3</v>
      </c>
    </row>
    <row r="274" spans="1:5" x14ac:dyDescent="0.35">
      <c r="A274" t="s">
        <v>274</v>
      </c>
      <c r="B274" s="1">
        <v>1.68</v>
      </c>
      <c r="C274" s="1">
        <v>1.35661792755127</v>
      </c>
      <c r="D274" s="1">
        <f t="shared" si="8"/>
        <v>0.32338207244872996</v>
      </c>
      <c r="E274" s="1">
        <f t="shared" si="9"/>
        <v>0.10457596478123564</v>
      </c>
    </row>
    <row r="275" spans="1:5" x14ac:dyDescent="0.35">
      <c r="A275" t="s">
        <v>275</v>
      </c>
      <c r="B275" s="1">
        <v>1.58</v>
      </c>
      <c r="C275" s="1">
        <v>1.3465831279754641</v>
      </c>
      <c r="D275" s="1">
        <f t="shared" si="8"/>
        <v>0.23341687202453598</v>
      </c>
      <c r="E275" s="1">
        <f t="shared" si="9"/>
        <v>5.4483436145718607E-2</v>
      </c>
    </row>
    <row r="276" spans="1:5" x14ac:dyDescent="0.35">
      <c r="A276" t="s">
        <v>276</v>
      </c>
      <c r="B276" s="1">
        <v>2.5099999999999998</v>
      </c>
      <c r="C276" s="1">
        <v>1.984020948410034</v>
      </c>
      <c r="D276" s="1">
        <f t="shared" si="8"/>
        <v>0.52597905158996583</v>
      </c>
      <c r="E276" s="1">
        <f t="shared" si="9"/>
        <v>0.27665396271147996</v>
      </c>
    </row>
    <row r="277" spans="1:5" x14ac:dyDescent="0.35">
      <c r="A277" t="s">
        <v>277</v>
      </c>
      <c r="B277" s="1">
        <v>3.89</v>
      </c>
      <c r="C277" s="1">
        <v>3.501083612442017</v>
      </c>
      <c r="D277" s="1">
        <f t="shared" si="8"/>
        <v>0.38891638755798308</v>
      </c>
      <c r="E277" s="1">
        <f t="shared" si="9"/>
        <v>0.15125595651115128</v>
      </c>
    </row>
    <row r="278" spans="1:5" x14ac:dyDescent="0.35">
      <c r="A278" t="s">
        <v>278</v>
      </c>
      <c r="B278" s="1">
        <v>4.12</v>
      </c>
      <c r="C278" s="1">
        <v>4.0754184722900391</v>
      </c>
      <c r="D278" s="1">
        <f t="shared" si="8"/>
        <v>4.4581527709961044E-2</v>
      </c>
      <c r="E278" s="1">
        <f t="shared" si="9"/>
        <v>1.9875126129540242E-3</v>
      </c>
    </row>
    <row r="279" spans="1:5" x14ac:dyDescent="0.35">
      <c r="A279" t="s">
        <v>279</v>
      </c>
      <c r="B279" s="1">
        <v>4.18</v>
      </c>
      <c r="C279" s="1">
        <v>4.3875303268432617</v>
      </c>
      <c r="D279" s="1">
        <f t="shared" si="8"/>
        <v>0.207530326843262</v>
      </c>
      <c r="E279" s="1">
        <f t="shared" si="9"/>
        <v>4.3068836559671156E-2</v>
      </c>
    </row>
    <row r="280" spans="1:5" x14ac:dyDescent="0.35">
      <c r="A280" t="s">
        <v>280</v>
      </c>
      <c r="B280" s="1">
        <v>2.5099999999999998</v>
      </c>
      <c r="C280" s="1">
        <v>1.8657257556915281</v>
      </c>
      <c r="D280" s="1">
        <f t="shared" si="8"/>
        <v>0.64427424430847169</v>
      </c>
      <c r="E280" s="1">
        <f t="shared" si="9"/>
        <v>0.41508930187925225</v>
      </c>
    </row>
    <row r="281" spans="1:5" x14ac:dyDescent="0.35">
      <c r="A281" t="s">
        <v>281</v>
      </c>
      <c r="B281" s="1">
        <v>2.96</v>
      </c>
      <c r="C281" s="1">
        <v>2.5650627613067631</v>
      </c>
      <c r="D281" s="1">
        <f t="shared" si="8"/>
        <v>0.39493723869323683</v>
      </c>
      <c r="E281" s="1">
        <f t="shared" si="9"/>
        <v>0.15597542250663871</v>
      </c>
    </row>
    <row r="282" spans="1:5" x14ac:dyDescent="0.35">
      <c r="A282" t="s">
        <v>282</v>
      </c>
      <c r="B282" s="1">
        <v>4.0599999999999996</v>
      </c>
      <c r="C282" s="1">
        <v>3.9777624607086182</v>
      </c>
      <c r="D282" s="1">
        <f t="shared" si="8"/>
        <v>8.2237539291381445E-2</v>
      </c>
      <c r="E282" s="1">
        <f t="shared" si="9"/>
        <v>6.7630128687015071E-3</v>
      </c>
    </row>
    <row r="283" spans="1:5" x14ac:dyDescent="0.35">
      <c r="A283" t="s">
        <v>283</v>
      </c>
      <c r="B283" s="1">
        <v>4.25</v>
      </c>
      <c r="C283" s="1">
        <v>4.4283299446105957</v>
      </c>
      <c r="D283" s="1">
        <f t="shared" si="8"/>
        <v>0.1783299446105957</v>
      </c>
      <c r="E283" s="1">
        <f t="shared" si="9"/>
        <v>3.1801569144818131E-2</v>
      </c>
    </row>
    <row r="284" spans="1:5" x14ac:dyDescent="0.35">
      <c r="A284" t="s">
        <v>284</v>
      </c>
      <c r="B284" s="1">
        <v>2.59</v>
      </c>
      <c r="C284" s="1">
        <v>2.4516639709472661</v>
      </c>
      <c r="D284" s="1">
        <f t="shared" si="8"/>
        <v>0.13833602905273379</v>
      </c>
      <c r="E284" s="1">
        <f t="shared" si="9"/>
        <v>1.9136856934078808E-2</v>
      </c>
    </row>
    <row r="285" spans="1:5" x14ac:dyDescent="0.35">
      <c r="A285" t="s">
        <v>285</v>
      </c>
      <c r="B285" s="1">
        <v>2.82</v>
      </c>
      <c r="C285" s="1">
        <v>3.276516437530518</v>
      </c>
      <c r="D285" s="1">
        <f t="shared" si="8"/>
        <v>0.45651643753051818</v>
      </c>
      <c r="E285" s="1">
        <f t="shared" si="9"/>
        <v>0.20840725773555552</v>
      </c>
    </row>
    <row r="286" spans="1:5" x14ac:dyDescent="0.35">
      <c r="A286" t="s">
        <v>286</v>
      </c>
      <c r="B286" s="1">
        <v>1.88</v>
      </c>
      <c r="C286" s="1">
        <v>1.657897353172302</v>
      </c>
      <c r="D286" s="1">
        <f t="shared" si="8"/>
        <v>0.22210264682769787</v>
      </c>
      <c r="E286" s="1">
        <f t="shared" si="9"/>
        <v>4.9329585727869094E-2</v>
      </c>
    </row>
    <row r="287" spans="1:5" x14ac:dyDescent="0.35">
      <c r="A287" t="s">
        <v>287</v>
      </c>
      <c r="B287" s="1">
        <v>2.9</v>
      </c>
      <c r="C287" s="1">
        <v>3.09355616569519</v>
      </c>
      <c r="D287" s="1">
        <f t="shared" si="8"/>
        <v>0.19355616569519007</v>
      </c>
      <c r="E287" s="1">
        <f t="shared" si="9"/>
        <v>3.7463989278623877E-2</v>
      </c>
    </row>
    <row r="288" spans="1:5" x14ac:dyDescent="0.35">
      <c r="A288" t="s">
        <v>288</v>
      </c>
      <c r="B288" s="1">
        <v>3.43</v>
      </c>
      <c r="C288" s="1">
        <v>3.727005243301392</v>
      </c>
      <c r="D288" s="1">
        <f t="shared" si="8"/>
        <v>0.29700524330139189</v>
      </c>
      <c r="E288" s="1">
        <f t="shared" si="9"/>
        <v>8.8212114548518988E-2</v>
      </c>
    </row>
    <row r="289" spans="1:5" x14ac:dyDescent="0.35">
      <c r="A289" t="s">
        <v>289</v>
      </c>
      <c r="B289" s="1">
        <v>2.6</v>
      </c>
      <c r="C289" s="1">
        <v>3.439306259155273</v>
      </c>
      <c r="D289" s="1">
        <f t="shared" si="8"/>
        <v>0.8393062591552729</v>
      </c>
      <c r="E289" s="1">
        <f t="shared" si="9"/>
        <v>0.70443499665721809</v>
      </c>
    </row>
    <row r="290" spans="1:5" x14ac:dyDescent="0.35">
      <c r="A290" t="s">
        <v>290</v>
      </c>
      <c r="B290" s="1">
        <v>2.79</v>
      </c>
      <c r="C290" s="1">
        <v>3.6108987331390381</v>
      </c>
      <c r="D290" s="1">
        <f t="shared" si="8"/>
        <v>0.82089873313903805</v>
      </c>
      <c r="E290" s="1">
        <f t="shared" si="9"/>
        <v>0.67387473006927756</v>
      </c>
    </row>
    <row r="291" spans="1:5" x14ac:dyDescent="0.35">
      <c r="A291" t="s">
        <v>291</v>
      </c>
      <c r="B291" s="1">
        <v>1.29</v>
      </c>
      <c r="C291" s="1">
        <v>1.299935102462769</v>
      </c>
      <c r="D291" s="1">
        <f t="shared" si="8"/>
        <v>9.9351024627689632E-3</v>
      </c>
      <c r="E291" s="1">
        <f t="shared" si="9"/>
        <v>9.8706260945717914E-5</v>
      </c>
    </row>
    <row r="292" spans="1:5" x14ac:dyDescent="0.35">
      <c r="A292" t="s">
        <v>292</v>
      </c>
      <c r="B292" s="1">
        <v>1.36</v>
      </c>
      <c r="C292" s="1">
        <v>1.507718563079834</v>
      </c>
      <c r="D292" s="1">
        <f t="shared" si="8"/>
        <v>0.14771856307983389</v>
      </c>
      <c r="E292" s="1">
        <f t="shared" si="9"/>
        <v>2.1820773878370864E-2</v>
      </c>
    </row>
    <row r="293" spans="1:5" x14ac:dyDescent="0.35">
      <c r="A293" t="s">
        <v>293</v>
      </c>
      <c r="B293" s="1">
        <v>1.46</v>
      </c>
      <c r="C293" s="1">
        <v>1.6141314506530759</v>
      </c>
      <c r="D293" s="1">
        <f t="shared" si="8"/>
        <v>0.15413145065307599</v>
      </c>
      <c r="E293" s="1">
        <f t="shared" si="9"/>
        <v>2.3756504080421598E-2</v>
      </c>
    </row>
    <row r="294" spans="1:5" x14ac:dyDescent="0.35">
      <c r="A294" t="s">
        <v>294</v>
      </c>
      <c r="B294" s="1">
        <v>1.5</v>
      </c>
      <c r="C294" s="1">
        <v>2.196621179580688</v>
      </c>
      <c r="D294" s="1">
        <f t="shared" si="8"/>
        <v>0.69662117958068803</v>
      </c>
      <c r="E294" s="1">
        <f t="shared" si="9"/>
        <v>0.48528106784038921</v>
      </c>
    </row>
    <row r="295" spans="1:5" x14ac:dyDescent="0.35">
      <c r="A295" t="s">
        <v>295</v>
      </c>
      <c r="B295" s="1">
        <v>2.74</v>
      </c>
      <c r="C295" s="1">
        <v>2.3347797393798828</v>
      </c>
      <c r="D295" s="1">
        <f t="shared" si="8"/>
        <v>0.4052202606201174</v>
      </c>
      <c r="E295" s="1">
        <f t="shared" si="9"/>
        <v>0.16420345961703586</v>
      </c>
    </row>
    <row r="296" spans="1:5" x14ac:dyDescent="0.35">
      <c r="A296" t="s">
        <v>296</v>
      </c>
      <c r="B296" s="1">
        <v>4.26</v>
      </c>
      <c r="C296" s="1">
        <v>3.785480260848999</v>
      </c>
      <c r="D296" s="1">
        <f t="shared" si="8"/>
        <v>0.47451973915100076</v>
      </c>
      <c r="E296" s="1">
        <f t="shared" si="9"/>
        <v>0.2251689828439338</v>
      </c>
    </row>
    <row r="297" spans="1:5" x14ac:dyDescent="0.35">
      <c r="A297" t="s">
        <v>297</v>
      </c>
      <c r="B297" s="1">
        <v>4.2699999999999996</v>
      </c>
      <c r="C297" s="1">
        <v>4.4844260215759277</v>
      </c>
      <c r="D297" s="1">
        <f t="shared" si="8"/>
        <v>0.21442602157592816</v>
      </c>
      <c r="E297" s="1">
        <f t="shared" si="9"/>
        <v>4.597851872888041E-2</v>
      </c>
    </row>
    <row r="298" spans="1:5" x14ac:dyDescent="0.35">
      <c r="A298" t="s">
        <v>298</v>
      </c>
      <c r="B298" s="1">
        <v>4.28</v>
      </c>
      <c r="C298" s="1">
        <v>4.6447882652282706</v>
      </c>
      <c r="D298" s="1">
        <f t="shared" si="8"/>
        <v>0.36478826522827035</v>
      </c>
      <c r="E298" s="1">
        <f t="shared" si="9"/>
        <v>0.1330704784482509</v>
      </c>
    </row>
    <row r="299" spans="1:5" x14ac:dyDescent="0.35">
      <c r="A299" t="s">
        <v>299</v>
      </c>
      <c r="B299" s="1">
        <v>2.42</v>
      </c>
      <c r="C299" s="1">
        <v>2.314061164855957</v>
      </c>
      <c r="D299" s="1">
        <f t="shared" si="8"/>
        <v>0.1059388351440429</v>
      </c>
      <c r="E299" s="1">
        <f t="shared" si="9"/>
        <v>1.1223036791676699E-2</v>
      </c>
    </row>
    <row r="300" spans="1:5" x14ac:dyDescent="0.35">
      <c r="A300" t="s">
        <v>300</v>
      </c>
      <c r="B300" s="1">
        <v>3.41</v>
      </c>
      <c r="C300" s="1">
        <v>3.3609740734100342</v>
      </c>
      <c r="D300" s="1">
        <f t="shared" si="8"/>
        <v>4.9025926589965962E-2</v>
      </c>
      <c r="E300" s="1">
        <f t="shared" si="9"/>
        <v>2.4035414780047316E-3</v>
      </c>
    </row>
    <row r="301" spans="1:5" x14ac:dyDescent="0.35">
      <c r="A301" t="s">
        <v>301</v>
      </c>
      <c r="B301" s="1">
        <v>2.33</v>
      </c>
      <c r="C301" s="1">
        <v>2.3912723064422612</v>
      </c>
      <c r="D301" s="1">
        <f t="shared" si="8"/>
        <v>6.1272306442261115E-2</v>
      </c>
      <c r="E301" s="1">
        <f t="shared" si="9"/>
        <v>3.7542955367543531E-3</v>
      </c>
    </row>
    <row r="302" spans="1:5" x14ac:dyDescent="0.35">
      <c r="A302" t="s">
        <v>302</v>
      </c>
      <c r="B302" s="1">
        <v>4.07</v>
      </c>
      <c r="C302" s="1">
        <v>3.9287862777709961</v>
      </c>
      <c r="D302" s="1">
        <f t="shared" si="8"/>
        <v>0.14121372222900419</v>
      </c>
      <c r="E302" s="1">
        <f t="shared" si="9"/>
        <v>1.9941315345770351E-2</v>
      </c>
    </row>
    <row r="303" spans="1:5" x14ac:dyDescent="0.35">
      <c r="A303" t="s">
        <v>303</v>
      </c>
      <c r="B303" s="1">
        <v>4.21</v>
      </c>
      <c r="C303" s="1">
        <v>4.1189193725585938</v>
      </c>
      <c r="D303" s="1">
        <f t="shared" si="8"/>
        <v>9.1080627441406214E-2</v>
      </c>
      <c r="E303" s="1">
        <f t="shared" si="9"/>
        <v>8.2956806951202389E-3</v>
      </c>
    </row>
    <row r="304" spans="1:5" x14ac:dyDescent="0.35">
      <c r="A304" t="s">
        <v>304</v>
      </c>
      <c r="B304" s="1">
        <v>4.16</v>
      </c>
      <c r="C304" s="1">
        <v>4.4081921577453613</v>
      </c>
      <c r="D304" s="1">
        <f t="shared" si="8"/>
        <v>0.24819215774536119</v>
      </c>
      <c r="E304" s="1">
        <f t="shared" si="9"/>
        <v>6.1599347166298252E-2</v>
      </c>
    </row>
    <row r="305" spans="1:5" x14ac:dyDescent="0.35">
      <c r="A305" t="s">
        <v>305</v>
      </c>
      <c r="B305" s="1">
        <v>2.9</v>
      </c>
      <c r="C305" s="1">
        <v>3.096821784973145</v>
      </c>
      <c r="D305" s="1">
        <f t="shared" si="8"/>
        <v>0.19682178497314506</v>
      </c>
      <c r="E305" s="1">
        <f t="shared" si="9"/>
        <v>3.8738815040014953E-2</v>
      </c>
    </row>
    <row r="306" spans="1:5" x14ac:dyDescent="0.35">
      <c r="A306" t="s">
        <v>306</v>
      </c>
      <c r="B306" s="1">
        <v>3.83</v>
      </c>
      <c r="C306" s="1">
        <v>3.6909141540527339</v>
      </c>
      <c r="D306" s="1">
        <f t="shared" si="8"/>
        <v>0.13908584594726614</v>
      </c>
      <c r="E306" s="1">
        <f t="shared" si="9"/>
        <v>1.934487254286665E-2</v>
      </c>
    </row>
    <row r="307" spans="1:5" x14ac:dyDescent="0.35">
      <c r="A307" t="s">
        <v>307</v>
      </c>
      <c r="B307" s="1">
        <v>3.81</v>
      </c>
      <c r="C307" s="1">
        <v>4.108820915222168</v>
      </c>
      <c r="D307" s="1">
        <f t="shared" si="8"/>
        <v>0.29882091522216792</v>
      </c>
      <c r="E307" s="1">
        <f t="shared" si="9"/>
        <v>8.9293939374214065E-2</v>
      </c>
    </row>
    <row r="308" spans="1:5" x14ac:dyDescent="0.35">
      <c r="A308" t="s">
        <v>308</v>
      </c>
      <c r="B308" s="1">
        <v>3.87</v>
      </c>
      <c r="C308" s="1">
        <v>3.9059748649597168</v>
      </c>
      <c r="D308" s="1">
        <f t="shared" si="8"/>
        <v>3.597486495971669E-2</v>
      </c>
      <c r="E308" s="1">
        <f t="shared" si="9"/>
        <v>1.2941909088698517E-3</v>
      </c>
    </row>
    <row r="309" spans="1:5" x14ac:dyDescent="0.35">
      <c r="A309" t="s">
        <v>309</v>
      </c>
      <c r="B309" s="1">
        <v>3.32</v>
      </c>
      <c r="C309" s="1">
        <v>3.427693128585815</v>
      </c>
      <c r="D309" s="1">
        <f t="shared" si="8"/>
        <v>0.10769312858581515</v>
      </c>
      <c r="E309" s="1">
        <f t="shared" si="9"/>
        <v>1.1597809944600915E-2</v>
      </c>
    </row>
    <row r="310" spans="1:5" x14ac:dyDescent="0.35">
      <c r="A310" t="s">
        <v>310</v>
      </c>
      <c r="B310" s="1">
        <v>1.18</v>
      </c>
      <c r="C310" s="1">
        <v>1.2636041641235349</v>
      </c>
      <c r="D310" s="1">
        <f t="shared" si="8"/>
        <v>8.3604164123534996E-2</v>
      </c>
      <c r="E310" s="1">
        <f t="shared" si="9"/>
        <v>6.9896562587949762E-3</v>
      </c>
    </row>
    <row r="311" spans="1:5" x14ac:dyDescent="0.35">
      <c r="A311" t="s">
        <v>311</v>
      </c>
      <c r="B311" s="1">
        <v>1.46</v>
      </c>
      <c r="C311" s="1">
        <v>1.5328236818313601</v>
      </c>
      <c r="D311" s="1">
        <f t="shared" si="8"/>
        <v>7.2823681831360121E-2</v>
      </c>
      <c r="E311" s="1">
        <f t="shared" si="9"/>
        <v>5.3032886354751705E-3</v>
      </c>
    </row>
    <row r="312" spans="1:5" x14ac:dyDescent="0.35">
      <c r="A312" t="s">
        <v>312</v>
      </c>
      <c r="B312" s="1">
        <v>1.44</v>
      </c>
      <c r="C312" s="1">
        <v>1.6181051731109619</v>
      </c>
      <c r="D312" s="1">
        <f t="shared" si="8"/>
        <v>0.17810517311096197</v>
      </c>
      <c r="E312" s="1">
        <f t="shared" si="9"/>
        <v>3.172145268888573E-2</v>
      </c>
    </row>
    <row r="313" spans="1:5" x14ac:dyDescent="0.35">
      <c r="A313" t="s">
        <v>313</v>
      </c>
      <c r="B313" s="1">
        <v>1.72</v>
      </c>
      <c r="C313" s="1">
        <v>2.286066055297852</v>
      </c>
      <c r="D313" s="1">
        <f t="shared" si="8"/>
        <v>0.56606605529785203</v>
      </c>
      <c r="E313" s="1">
        <f t="shared" si="9"/>
        <v>0.3204307789604709</v>
      </c>
    </row>
    <row r="314" spans="1:5" x14ac:dyDescent="0.35">
      <c r="A314" t="s">
        <v>314</v>
      </c>
      <c r="B314" s="1">
        <v>2.36</v>
      </c>
      <c r="C314" s="1">
        <v>2.3461940288543701</v>
      </c>
      <c r="D314" s="1">
        <f t="shared" si="8"/>
        <v>1.3805971145629758E-2</v>
      </c>
      <c r="E314" s="1">
        <f t="shared" si="9"/>
        <v>1.9060483927396148E-4</v>
      </c>
    </row>
    <row r="315" spans="1:5" x14ac:dyDescent="0.35">
      <c r="A315" t="s">
        <v>315</v>
      </c>
      <c r="B315" s="1">
        <v>3.27</v>
      </c>
      <c r="C315" s="1">
        <v>3.615841388702393</v>
      </c>
      <c r="D315" s="1">
        <f t="shared" si="8"/>
        <v>0.345841388702393</v>
      </c>
      <c r="E315" s="1">
        <f t="shared" si="9"/>
        <v>0.11960626613959968</v>
      </c>
    </row>
    <row r="316" spans="1:5" x14ac:dyDescent="0.35">
      <c r="A316" t="s">
        <v>316</v>
      </c>
      <c r="B316" s="1">
        <v>3.7</v>
      </c>
      <c r="C316" s="1">
        <v>3.82979416847229</v>
      </c>
      <c r="D316" s="1">
        <f t="shared" si="8"/>
        <v>0.12979416847228986</v>
      </c>
      <c r="E316" s="1">
        <f t="shared" si="9"/>
        <v>1.6846526169413165E-2</v>
      </c>
    </row>
    <row r="317" spans="1:5" x14ac:dyDescent="0.35">
      <c r="A317" t="s">
        <v>317</v>
      </c>
      <c r="B317" s="1">
        <v>3.86</v>
      </c>
      <c r="C317" s="1">
        <v>4.2492480278015137</v>
      </c>
      <c r="D317" s="1">
        <f t="shared" si="8"/>
        <v>0.3892480278015138</v>
      </c>
      <c r="E317" s="1">
        <f t="shared" si="9"/>
        <v>0.15151402714736806</v>
      </c>
    </row>
    <row r="318" spans="1:5" x14ac:dyDescent="0.35">
      <c r="A318" t="s">
        <v>318</v>
      </c>
      <c r="B318" s="1">
        <v>1.76</v>
      </c>
      <c r="C318" s="1">
        <v>1.8621599674224849</v>
      </c>
      <c r="D318" s="1">
        <f t="shared" si="8"/>
        <v>0.1021599674224849</v>
      </c>
      <c r="E318" s="1">
        <f t="shared" si="9"/>
        <v>1.0436658943763175E-2</v>
      </c>
    </row>
    <row r="319" spans="1:5" x14ac:dyDescent="0.35">
      <c r="A319" t="s">
        <v>319</v>
      </c>
      <c r="B319" s="1">
        <v>1.58</v>
      </c>
      <c r="C319" s="1">
        <v>1.730161666870117</v>
      </c>
      <c r="D319" s="1">
        <f t="shared" si="8"/>
        <v>0.15016166687011689</v>
      </c>
      <c r="E319" s="1">
        <f t="shared" si="9"/>
        <v>2.2548526197211961E-2</v>
      </c>
    </row>
    <row r="320" spans="1:5" x14ac:dyDescent="0.35">
      <c r="A320" t="s">
        <v>320</v>
      </c>
      <c r="B320" s="1">
        <v>2.21</v>
      </c>
      <c r="C320" s="1">
        <v>2.1648795604705811</v>
      </c>
      <c r="D320" s="1">
        <f t="shared" si="8"/>
        <v>4.512043952941891E-2</v>
      </c>
      <c r="E320" s="1">
        <f t="shared" si="9"/>
        <v>2.0358540633279485E-3</v>
      </c>
    </row>
    <row r="321" spans="1:5" x14ac:dyDescent="0.35">
      <c r="A321" t="s">
        <v>321</v>
      </c>
      <c r="B321" s="1">
        <v>2.82</v>
      </c>
      <c r="C321" s="1">
        <v>3.3683240413665771</v>
      </c>
      <c r="D321" s="1">
        <f t="shared" si="8"/>
        <v>0.54832404136657731</v>
      </c>
      <c r="E321" s="1">
        <f t="shared" si="9"/>
        <v>0.300659254340576</v>
      </c>
    </row>
    <row r="322" spans="1:5" x14ac:dyDescent="0.35">
      <c r="A322" t="s">
        <v>322</v>
      </c>
      <c r="B322" s="1">
        <v>1.75</v>
      </c>
      <c r="C322" s="1">
        <v>1.711634755134583</v>
      </c>
      <c r="D322" s="1">
        <f t="shared" si="8"/>
        <v>3.8365244865417036E-2</v>
      </c>
      <c r="E322" s="1">
        <f t="shared" si="9"/>
        <v>1.4718920135834083E-3</v>
      </c>
    </row>
    <row r="323" spans="1:5" x14ac:dyDescent="0.35">
      <c r="A323" t="s">
        <v>323</v>
      </c>
      <c r="B323" s="1">
        <v>3.29</v>
      </c>
      <c r="C323" s="1">
        <v>3.0517609119415279</v>
      </c>
      <c r="D323" s="1">
        <f t="shared" ref="D323:D386" si="10">ABS(B323-C323)</f>
        <v>0.23823908805847216</v>
      </c>
      <c r="E323" s="1">
        <f t="shared" ref="E323:E386" si="11">(B323-C323)^2</f>
        <v>5.675786307893245E-2</v>
      </c>
    </row>
    <row r="324" spans="1:5" x14ac:dyDescent="0.35">
      <c r="A324" t="s">
        <v>324</v>
      </c>
      <c r="B324" s="1">
        <v>2.61</v>
      </c>
      <c r="C324" s="1">
        <v>2.5397894382476811</v>
      </c>
      <c r="D324" s="1">
        <f t="shared" si="10"/>
        <v>7.0210561752318768E-2</v>
      </c>
      <c r="E324" s="1">
        <f t="shared" si="11"/>
        <v>4.9295229815761671E-3</v>
      </c>
    </row>
    <row r="325" spans="1:5" x14ac:dyDescent="0.35">
      <c r="A325" t="s">
        <v>325</v>
      </c>
      <c r="B325" s="1">
        <v>2.41</v>
      </c>
      <c r="C325" s="1">
        <v>2.872062206268311</v>
      </c>
      <c r="D325" s="1">
        <f t="shared" si="10"/>
        <v>0.46206220626831085</v>
      </c>
      <c r="E325" s="1">
        <f t="shared" si="11"/>
        <v>0.21350148246153905</v>
      </c>
    </row>
    <row r="326" spans="1:5" x14ac:dyDescent="0.35">
      <c r="A326" t="s">
        <v>326</v>
      </c>
      <c r="B326" s="1">
        <v>2.41</v>
      </c>
      <c r="C326" s="1">
        <v>2.3808374404907231</v>
      </c>
      <c r="D326" s="1">
        <f t="shared" si="10"/>
        <v>2.9162559509277042E-2</v>
      </c>
      <c r="E326" s="1">
        <f t="shared" si="11"/>
        <v>8.504548771321248E-4</v>
      </c>
    </row>
    <row r="327" spans="1:5" x14ac:dyDescent="0.35">
      <c r="A327" t="s">
        <v>327</v>
      </c>
      <c r="B327" s="1">
        <v>2.89</v>
      </c>
      <c r="C327" s="1">
        <v>2.4497792720794682</v>
      </c>
      <c r="D327" s="1">
        <f t="shared" si="10"/>
        <v>0.44022072792053191</v>
      </c>
      <c r="E327" s="1">
        <f t="shared" si="11"/>
        <v>0.19379428929088299</v>
      </c>
    </row>
    <row r="328" spans="1:5" x14ac:dyDescent="0.35">
      <c r="A328" t="s">
        <v>328</v>
      </c>
      <c r="B328" s="1">
        <v>2.15</v>
      </c>
      <c r="C328" s="1">
        <v>2.2387111186981201</v>
      </c>
      <c r="D328" s="1">
        <f t="shared" si="10"/>
        <v>8.8711118698120206E-2</v>
      </c>
      <c r="E328" s="1">
        <f t="shared" si="11"/>
        <v>7.8696625806719718E-3</v>
      </c>
    </row>
    <row r="329" spans="1:5" x14ac:dyDescent="0.35">
      <c r="A329" t="s">
        <v>329</v>
      </c>
      <c r="B329" s="1">
        <v>1.1100000000000001</v>
      </c>
      <c r="C329" s="1">
        <v>1.245681524276733</v>
      </c>
      <c r="D329" s="1">
        <f t="shared" si="10"/>
        <v>0.13568152427673286</v>
      </c>
      <c r="E329" s="1">
        <f t="shared" si="11"/>
        <v>1.8409476030057648E-2</v>
      </c>
    </row>
    <row r="330" spans="1:5" x14ac:dyDescent="0.35">
      <c r="A330" t="s">
        <v>330</v>
      </c>
      <c r="B330" s="1">
        <v>1.36</v>
      </c>
      <c r="C330" s="1">
        <v>1.349533796310425</v>
      </c>
      <c r="D330" s="1">
        <f t="shared" si="10"/>
        <v>1.0466203689575071E-2</v>
      </c>
      <c r="E330" s="1">
        <f t="shared" si="11"/>
        <v>1.0954141967167483E-4</v>
      </c>
    </row>
    <row r="331" spans="1:5" x14ac:dyDescent="0.35">
      <c r="A331" t="s">
        <v>331</v>
      </c>
      <c r="B331" s="1">
        <v>1.34</v>
      </c>
      <c r="C331" s="1">
        <v>1.3810455799102781</v>
      </c>
      <c r="D331" s="1">
        <f t="shared" si="10"/>
        <v>4.1045579910278018E-2</v>
      </c>
      <c r="E331" s="1">
        <f t="shared" si="11"/>
        <v>1.6847396301710184E-3</v>
      </c>
    </row>
    <row r="332" spans="1:5" x14ac:dyDescent="0.35">
      <c r="A332" t="s">
        <v>332</v>
      </c>
      <c r="B332" s="1">
        <v>1.48</v>
      </c>
      <c r="C332" s="1">
        <v>1.6110613346099849</v>
      </c>
      <c r="D332" s="1">
        <f t="shared" si="10"/>
        <v>0.13106133460998493</v>
      </c>
      <c r="E332" s="1">
        <f t="shared" si="11"/>
        <v>1.7177073429750431E-2</v>
      </c>
    </row>
    <row r="333" spans="1:5" x14ac:dyDescent="0.35">
      <c r="A333" t="s">
        <v>333</v>
      </c>
      <c r="B333" s="1">
        <v>4.25</v>
      </c>
      <c r="C333" s="1">
        <v>4.5054788589477539</v>
      </c>
      <c r="D333" s="1">
        <f t="shared" si="10"/>
        <v>0.25547885894775391</v>
      </c>
      <c r="E333" s="1">
        <f t="shared" si="11"/>
        <v>6.5269447369246336E-2</v>
      </c>
    </row>
    <row r="334" spans="1:5" x14ac:dyDescent="0.35">
      <c r="A334" t="s">
        <v>334</v>
      </c>
      <c r="B334" s="1">
        <v>2.36</v>
      </c>
      <c r="C334" s="1">
        <v>3.6960878372192378</v>
      </c>
      <c r="D334" s="1">
        <f t="shared" si="10"/>
        <v>1.336087837219238</v>
      </c>
      <c r="E334" s="1">
        <f t="shared" si="11"/>
        <v>1.7851307087651809</v>
      </c>
    </row>
    <row r="335" spans="1:5" x14ac:dyDescent="0.35">
      <c r="A335" t="s">
        <v>335</v>
      </c>
      <c r="B335" s="1">
        <v>4.24</v>
      </c>
      <c r="C335" s="1">
        <v>4.4603219032287598</v>
      </c>
      <c r="D335" s="1">
        <f t="shared" si="10"/>
        <v>0.22032190322875955</v>
      </c>
      <c r="E335" s="1">
        <f t="shared" si="11"/>
        <v>4.8541741042342886E-2</v>
      </c>
    </row>
    <row r="336" spans="1:5" x14ac:dyDescent="0.35">
      <c r="A336" t="s">
        <v>336</v>
      </c>
      <c r="B336" s="1">
        <v>1.63</v>
      </c>
      <c r="C336" s="1">
        <v>1.5599538087844851</v>
      </c>
      <c r="D336" s="1">
        <f t="shared" si="10"/>
        <v>7.0046191215514808E-2</v>
      </c>
      <c r="E336" s="1">
        <f t="shared" si="11"/>
        <v>4.9064689038004639E-3</v>
      </c>
    </row>
    <row r="337" spans="1:5" x14ac:dyDescent="0.35">
      <c r="A337" t="s">
        <v>337</v>
      </c>
      <c r="B337" s="1">
        <v>3.98</v>
      </c>
      <c r="C337" s="1">
        <v>4.4656586647033691</v>
      </c>
      <c r="D337" s="1">
        <f t="shared" si="10"/>
        <v>0.48565866470336916</v>
      </c>
      <c r="E337" s="1">
        <f t="shared" si="11"/>
        <v>0.23586433860145956</v>
      </c>
    </row>
    <row r="338" spans="1:5" x14ac:dyDescent="0.35">
      <c r="A338" t="s">
        <v>338</v>
      </c>
      <c r="B338" s="1">
        <v>3.29</v>
      </c>
      <c r="C338" s="1">
        <v>4.0117440223693848</v>
      </c>
      <c r="D338" s="1">
        <f t="shared" si="10"/>
        <v>0.72174402236938473</v>
      </c>
      <c r="E338" s="1">
        <f t="shared" si="11"/>
        <v>0.52091443382593894</v>
      </c>
    </row>
    <row r="339" spans="1:5" x14ac:dyDescent="0.35">
      <c r="A339" t="s">
        <v>339</v>
      </c>
      <c r="B339" s="1">
        <v>1.29</v>
      </c>
      <c r="C339" s="1">
        <v>1.173505544662476</v>
      </c>
      <c r="D339" s="1">
        <f t="shared" si="10"/>
        <v>0.11649445533752401</v>
      </c>
      <c r="E339" s="1">
        <f t="shared" si="11"/>
        <v>1.3570958124386375E-2</v>
      </c>
    </row>
    <row r="340" spans="1:5" x14ac:dyDescent="0.35">
      <c r="A340" t="s">
        <v>340</v>
      </c>
      <c r="B340" s="1">
        <v>3.77</v>
      </c>
      <c r="C340" s="1">
        <v>4.3574094772338867</v>
      </c>
      <c r="D340" s="1">
        <f t="shared" si="10"/>
        <v>0.5874094772338867</v>
      </c>
      <c r="E340" s="1">
        <f t="shared" si="11"/>
        <v>0.34504989394418806</v>
      </c>
    </row>
    <row r="341" spans="1:5" x14ac:dyDescent="0.35">
      <c r="A341" t="s">
        <v>341</v>
      </c>
      <c r="B341" s="1">
        <v>2.78</v>
      </c>
      <c r="C341" s="1">
        <v>2.7844753265380859</v>
      </c>
      <c r="D341" s="1">
        <f t="shared" si="10"/>
        <v>4.4753265380861329E-3</v>
      </c>
      <c r="E341" s="1">
        <f t="shared" si="11"/>
        <v>2.002854762249801E-5</v>
      </c>
    </row>
    <row r="342" spans="1:5" x14ac:dyDescent="0.35">
      <c r="A342" t="s">
        <v>342</v>
      </c>
      <c r="B342" s="1">
        <v>1.53</v>
      </c>
      <c r="C342" s="1">
        <v>1.405630469322205</v>
      </c>
      <c r="D342" s="1">
        <f t="shared" si="10"/>
        <v>0.12436953067779499</v>
      </c>
      <c r="E342" s="1">
        <f t="shared" si="11"/>
        <v>1.546778016101499E-2</v>
      </c>
    </row>
    <row r="343" spans="1:5" x14ac:dyDescent="0.35">
      <c r="A343" t="s">
        <v>343</v>
      </c>
      <c r="B343" s="1">
        <v>4.3899999999999997</v>
      </c>
      <c r="C343" s="1">
        <v>3.9880623817443852</v>
      </c>
      <c r="D343" s="1">
        <f t="shared" si="10"/>
        <v>0.40193761825561447</v>
      </c>
      <c r="E343" s="1">
        <f t="shared" si="11"/>
        <v>0.16155384896899608</v>
      </c>
    </row>
    <row r="344" spans="1:5" x14ac:dyDescent="0.35">
      <c r="A344" t="s">
        <v>344</v>
      </c>
      <c r="B344" s="1">
        <v>3.88</v>
      </c>
      <c r="C344" s="1">
        <v>3.832802534103394</v>
      </c>
      <c r="D344" s="1">
        <f t="shared" si="10"/>
        <v>4.7197465896605895E-2</v>
      </c>
      <c r="E344" s="1">
        <f t="shared" si="11"/>
        <v>2.2276007870612765E-3</v>
      </c>
    </row>
    <row r="345" spans="1:5" x14ac:dyDescent="0.35">
      <c r="A345" t="s">
        <v>345</v>
      </c>
      <c r="B345" s="1">
        <v>1.75</v>
      </c>
      <c r="C345" s="1">
        <v>1.9099153280258181</v>
      </c>
      <c r="D345" s="1">
        <f t="shared" si="10"/>
        <v>0.15991532802581809</v>
      </c>
      <c r="E345" s="1">
        <f t="shared" si="11"/>
        <v>2.5572912137605E-2</v>
      </c>
    </row>
    <row r="346" spans="1:5" x14ac:dyDescent="0.35">
      <c r="A346" t="s">
        <v>346</v>
      </c>
      <c r="B346" s="1">
        <v>3.04</v>
      </c>
      <c r="C346" s="1">
        <v>2.784449577331543</v>
      </c>
      <c r="D346" s="1">
        <f t="shared" si="10"/>
        <v>0.25555042266845707</v>
      </c>
      <c r="E346" s="1">
        <f t="shared" si="11"/>
        <v>6.5306018526027049E-2</v>
      </c>
    </row>
    <row r="347" spans="1:5" x14ac:dyDescent="0.35">
      <c r="A347" t="s">
        <v>347</v>
      </c>
      <c r="B347" s="1">
        <v>2.37</v>
      </c>
      <c r="C347" s="1">
        <v>1.941256999969482</v>
      </c>
      <c r="D347" s="1">
        <f t="shared" si="10"/>
        <v>0.42874300003051813</v>
      </c>
      <c r="E347" s="1">
        <f t="shared" si="11"/>
        <v>0.18382056007516887</v>
      </c>
    </row>
    <row r="348" spans="1:5" x14ac:dyDescent="0.35">
      <c r="A348" t="s">
        <v>348</v>
      </c>
      <c r="B348" s="1">
        <v>3.61</v>
      </c>
      <c r="C348" s="1">
        <v>3.9793016910552979</v>
      </c>
      <c r="D348" s="1">
        <f t="shared" si="10"/>
        <v>0.36930169105529798</v>
      </c>
      <c r="E348" s="1">
        <f t="shared" si="11"/>
        <v>0.13638373901630274</v>
      </c>
    </row>
    <row r="349" spans="1:5" x14ac:dyDescent="0.35">
      <c r="A349" t="s">
        <v>349</v>
      </c>
      <c r="B349" s="1">
        <v>2.2799999999999998</v>
      </c>
      <c r="C349" s="1">
        <v>2.987392663955688</v>
      </c>
      <c r="D349" s="1">
        <f t="shared" si="10"/>
        <v>0.70739266395568823</v>
      </c>
      <c r="E349" s="1">
        <f t="shared" si="11"/>
        <v>0.50040438101832529</v>
      </c>
    </row>
    <row r="350" spans="1:5" x14ac:dyDescent="0.35">
      <c r="A350" t="s">
        <v>350</v>
      </c>
      <c r="B350" s="1">
        <v>1.51</v>
      </c>
      <c r="C350" s="1">
        <v>1.487436056137085</v>
      </c>
      <c r="D350" s="1">
        <f t="shared" si="10"/>
        <v>2.2563943862915048E-2</v>
      </c>
      <c r="E350" s="1">
        <f t="shared" si="11"/>
        <v>5.0913156264878164E-4</v>
      </c>
    </row>
    <row r="351" spans="1:5" x14ac:dyDescent="0.35">
      <c r="A351" t="s">
        <v>351</v>
      </c>
      <c r="B351" s="1">
        <v>4.28</v>
      </c>
      <c r="C351" s="1">
        <v>4.1456294059753418</v>
      </c>
      <c r="D351" s="1">
        <f t="shared" si="10"/>
        <v>0.13437059402465845</v>
      </c>
      <c r="E351" s="1">
        <f t="shared" si="11"/>
        <v>1.8055456538539578E-2</v>
      </c>
    </row>
    <row r="352" spans="1:5" x14ac:dyDescent="0.35">
      <c r="A352" t="s">
        <v>352</v>
      </c>
      <c r="B352" s="1">
        <v>2.0699999999999998</v>
      </c>
      <c r="C352" s="1">
        <v>2.2742199897766109</v>
      </c>
      <c r="D352" s="1">
        <f t="shared" si="10"/>
        <v>0.20421998977661104</v>
      </c>
      <c r="E352" s="1">
        <f t="shared" si="11"/>
        <v>4.1705804224359121E-2</v>
      </c>
    </row>
    <row r="353" spans="1:5" x14ac:dyDescent="0.35">
      <c r="A353" t="s">
        <v>353</v>
      </c>
      <c r="B353" s="1">
        <v>3.92</v>
      </c>
      <c r="C353" s="1">
        <v>4.3817324638366699</v>
      </c>
      <c r="D353" s="1">
        <f t="shared" si="10"/>
        <v>0.46173246383666999</v>
      </c>
      <c r="E353" s="1">
        <f t="shared" si="11"/>
        <v>0.21319686816068176</v>
      </c>
    </row>
    <row r="354" spans="1:5" x14ac:dyDescent="0.35">
      <c r="A354" t="s">
        <v>354</v>
      </c>
      <c r="B354" s="1">
        <v>1.88</v>
      </c>
      <c r="C354" s="1">
        <v>3.2023286819458008</v>
      </c>
      <c r="D354" s="1">
        <f t="shared" si="10"/>
        <v>1.3223286819458009</v>
      </c>
      <c r="E354" s="1">
        <f t="shared" si="11"/>
        <v>1.7485531430965191</v>
      </c>
    </row>
    <row r="355" spans="1:5" x14ac:dyDescent="0.35">
      <c r="A355" t="s">
        <v>355</v>
      </c>
      <c r="B355" s="1">
        <v>3.53</v>
      </c>
      <c r="C355" s="1">
        <v>3.9077351093292241</v>
      </c>
      <c r="D355" s="1">
        <f t="shared" si="10"/>
        <v>0.37773510932922427</v>
      </c>
      <c r="E355" s="1">
        <f t="shared" si="11"/>
        <v>0.14268381281996101</v>
      </c>
    </row>
    <row r="356" spans="1:5" x14ac:dyDescent="0.35">
      <c r="A356" t="s">
        <v>356</v>
      </c>
      <c r="B356" s="1">
        <v>1.59</v>
      </c>
      <c r="C356" s="1">
        <v>1.7002296447753911</v>
      </c>
      <c r="D356" s="1">
        <f t="shared" si="10"/>
        <v>0.11022964477539099</v>
      </c>
      <c r="E356" s="1">
        <f t="shared" si="11"/>
        <v>1.2150574587308881E-2</v>
      </c>
    </row>
    <row r="357" spans="1:5" x14ac:dyDescent="0.35">
      <c r="A357" t="s">
        <v>357</v>
      </c>
      <c r="B357" s="1">
        <v>3.55</v>
      </c>
      <c r="C357" s="1">
        <v>4.2810626029968262</v>
      </c>
      <c r="D357" s="1">
        <f t="shared" si="10"/>
        <v>0.73106260299682635</v>
      </c>
      <c r="E357" s="1">
        <f t="shared" si="11"/>
        <v>0.53445252950049538</v>
      </c>
    </row>
    <row r="358" spans="1:5" x14ac:dyDescent="0.35">
      <c r="A358" t="s">
        <v>358</v>
      </c>
      <c r="B358" s="1">
        <v>1.28</v>
      </c>
      <c r="C358" s="1">
        <v>1.3501962423324581</v>
      </c>
      <c r="D358" s="1">
        <f t="shared" si="10"/>
        <v>7.0196242332458025E-2</v>
      </c>
      <c r="E358" s="1">
        <f t="shared" si="11"/>
        <v>4.9275124375971723E-3</v>
      </c>
    </row>
    <row r="359" spans="1:5" x14ac:dyDescent="0.35">
      <c r="A359" t="s">
        <v>359</v>
      </c>
      <c r="B359" s="1">
        <v>4.04</v>
      </c>
      <c r="C359" s="1">
        <v>4.4111018180847168</v>
      </c>
      <c r="D359" s="1">
        <f t="shared" si="10"/>
        <v>0.37110181808471676</v>
      </c>
      <c r="E359" s="1">
        <f t="shared" si="11"/>
        <v>0.1377165593857822</v>
      </c>
    </row>
    <row r="360" spans="1:5" x14ac:dyDescent="0.35">
      <c r="A360" t="s">
        <v>360</v>
      </c>
      <c r="B360" s="1">
        <v>1.35</v>
      </c>
      <c r="C360" s="1">
        <v>1.475436210632324</v>
      </c>
      <c r="D360" s="1">
        <f t="shared" si="10"/>
        <v>0.12543621063232391</v>
      </c>
      <c r="E360" s="1">
        <f t="shared" si="11"/>
        <v>1.5734242937796728E-2</v>
      </c>
    </row>
    <row r="361" spans="1:5" x14ac:dyDescent="0.35">
      <c r="A361" t="s">
        <v>361</v>
      </c>
      <c r="B361" s="1">
        <v>3.44</v>
      </c>
      <c r="C361" s="1">
        <v>4.4237885475158691</v>
      </c>
      <c r="D361" s="1">
        <f t="shared" si="10"/>
        <v>0.98378854751586919</v>
      </c>
      <c r="E361" s="1">
        <f t="shared" si="11"/>
        <v>0.96783990622338367</v>
      </c>
    </row>
    <row r="362" spans="1:5" x14ac:dyDescent="0.35">
      <c r="A362" t="s">
        <v>362</v>
      </c>
      <c r="B362" s="1">
        <v>2.46</v>
      </c>
      <c r="C362" s="1">
        <v>2.1702430248260498</v>
      </c>
      <c r="D362" s="1">
        <f t="shared" si="10"/>
        <v>0.28975697517395016</v>
      </c>
      <c r="E362" s="1">
        <f t="shared" si="11"/>
        <v>8.3959104661957162E-2</v>
      </c>
    </row>
    <row r="363" spans="1:5" x14ac:dyDescent="0.35">
      <c r="A363" t="s">
        <v>363</v>
      </c>
      <c r="B363" s="1">
        <v>3.73</v>
      </c>
      <c r="C363" s="1">
        <v>4.3435649871826172</v>
      </c>
      <c r="D363" s="1">
        <f t="shared" si="10"/>
        <v>0.61356498718261721</v>
      </c>
      <c r="E363" s="1">
        <f t="shared" si="11"/>
        <v>0.37646199349640519</v>
      </c>
    </row>
    <row r="364" spans="1:5" x14ac:dyDescent="0.35">
      <c r="A364" t="s">
        <v>364</v>
      </c>
      <c r="B364" s="1">
        <v>3.27</v>
      </c>
      <c r="C364" s="1">
        <v>3.3984980583190918</v>
      </c>
      <c r="D364" s="1">
        <f t="shared" si="10"/>
        <v>0.12849805831909178</v>
      </c>
      <c r="E364" s="1">
        <f t="shared" si="11"/>
        <v>1.6511750991776711E-2</v>
      </c>
    </row>
    <row r="365" spans="1:5" x14ac:dyDescent="0.35">
      <c r="A365" t="s">
        <v>365</v>
      </c>
      <c r="B365" s="1">
        <v>4.0999999999999996</v>
      </c>
      <c r="C365" s="1">
        <v>4.454310417175293</v>
      </c>
      <c r="D365" s="1">
        <f t="shared" si="10"/>
        <v>0.35431041717529332</v>
      </c>
      <c r="E365" s="1">
        <f t="shared" si="11"/>
        <v>0.12553587171893038</v>
      </c>
    </row>
    <row r="366" spans="1:5" x14ac:dyDescent="0.35">
      <c r="A366" t="s">
        <v>366</v>
      </c>
      <c r="B366" s="1">
        <v>3.92</v>
      </c>
      <c r="C366" s="1">
        <v>3.8933479785919189</v>
      </c>
      <c r="D366" s="1">
        <f t="shared" si="10"/>
        <v>2.6652021408080984E-2</v>
      </c>
      <c r="E366" s="1">
        <f t="shared" si="11"/>
        <v>7.1033024513680702E-4</v>
      </c>
    </row>
    <row r="367" spans="1:5" x14ac:dyDescent="0.35">
      <c r="A367" t="s">
        <v>367</v>
      </c>
      <c r="B367" s="1">
        <v>3.71</v>
      </c>
      <c r="C367" s="1">
        <v>3.9454703330993648</v>
      </c>
      <c r="D367" s="1">
        <f t="shared" si="10"/>
        <v>0.23547033309936483</v>
      </c>
      <c r="E367" s="1">
        <f t="shared" si="11"/>
        <v>5.5446277769925827E-2</v>
      </c>
    </row>
    <row r="368" spans="1:5" x14ac:dyDescent="0.35">
      <c r="A368" t="s">
        <v>368</v>
      </c>
      <c r="B368" s="1">
        <v>2.0699999999999998</v>
      </c>
      <c r="C368" s="1">
        <v>2.5115997791290279</v>
      </c>
      <c r="D368" s="1">
        <f t="shared" si="10"/>
        <v>0.44159977912902804</v>
      </c>
      <c r="E368" s="1">
        <f t="shared" si="11"/>
        <v>0.19501036492680635</v>
      </c>
    </row>
    <row r="369" spans="1:5" x14ac:dyDescent="0.35">
      <c r="A369" t="s">
        <v>369</v>
      </c>
      <c r="B369" s="1">
        <v>4.2</v>
      </c>
      <c r="C369" s="1">
        <v>4.2527909278869629</v>
      </c>
      <c r="D369" s="1">
        <f t="shared" si="10"/>
        <v>5.2790927886962713E-2</v>
      </c>
      <c r="E369" s="1">
        <f t="shared" si="11"/>
        <v>2.7868820671664973E-3</v>
      </c>
    </row>
    <row r="370" spans="1:5" x14ac:dyDescent="0.35">
      <c r="A370" t="s">
        <v>370</v>
      </c>
      <c r="B370" s="1">
        <v>2.13</v>
      </c>
      <c r="C370" s="1">
        <v>2.69739818572998</v>
      </c>
      <c r="D370" s="1">
        <f t="shared" si="10"/>
        <v>0.56739818572998013</v>
      </c>
      <c r="E370" s="1">
        <f t="shared" si="11"/>
        <v>0.32194070116967305</v>
      </c>
    </row>
    <row r="371" spans="1:5" x14ac:dyDescent="0.35">
      <c r="A371" t="s">
        <v>371</v>
      </c>
      <c r="B371" s="1">
        <v>4.3</v>
      </c>
      <c r="C371" s="1">
        <v>4.5318131446838379</v>
      </c>
      <c r="D371" s="1">
        <f t="shared" si="10"/>
        <v>0.23181314468383807</v>
      </c>
      <c r="E371" s="1">
        <f t="shared" si="11"/>
        <v>5.3737334048210045E-2</v>
      </c>
    </row>
    <row r="372" spans="1:5" x14ac:dyDescent="0.35">
      <c r="A372" t="s">
        <v>372</v>
      </c>
      <c r="B372" s="1">
        <v>2.31</v>
      </c>
      <c r="C372" s="1">
        <v>3.8100748062133789</v>
      </c>
      <c r="D372" s="1">
        <f t="shared" si="10"/>
        <v>1.5000748062133789</v>
      </c>
      <c r="E372" s="1">
        <f t="shared" si="11"/>
        <v>2.250224424236106</v>
      </c>
    </row>
    <row r="373" spans="1:5" x14ac:dyDescent="0.35">
      <c r="A373" t="s">
        <v>373</v>
      </c>
      <c r="B373" s="1">
        <v>2.44</v>
      </c>
      <c r="C373" s="1">
        <v>3.056778192520142</v>
      </c>
      <c r="D373" s="1">
        <f t="shared" si="10"/>
        <v>0.6167781925201421</v>
      </c>
      <c r="E373" s="1">
        <f t="shared" si="11"/>
        <v>0.38041533876841349</v>
      </c>
    </row>
    <row r="374" spans="1:5" x14ac:dyDescent="0.35">
      <c r="A374" t="s">
        <v>374</v>
      </c>
      <c r="B374" s="1">
        <v>4.6100000000000003</v>
      </c>
      <c r="C374" s="1">
        <v>4.8572735786437988</v>
      </c>
      <c r="D374" s="1">
        <f t="shared" si="10"/>
        <v>0.24727357864379851</v>
      </c>
      <c r="E374" s="1">
        <f t="shared" si="11"/>
        <v>6.1144222695310807E-2</v>
      </c>
    </row>
    <row r="375" spans="1:5" x14ac:dyDescent="0.35">
      <c r="A375" t="s">
        <v>375</v>
      </c>
      <c r="B375" s="1">
        <v>2.41</v>
      </c>
      <c r="C375" s="1">
        <v>3.7800204753875728</v>
      </c>
      <c r="D375" s="1">
        <f t="shared" si="10"/>
        <v>1.3700204753875727</v>
      </c>
      <c r="E375" s="1">
        <f t="shared" si="11"/>
        <v>1.8769561029811905</v>
      </c>
    </row>
    <row r="376" spans="1:5" x14ac:dyDescent="0.35">
      <c r="A376" t="s">
        <v>376</v>
      </c>
      <c r="B376" s="1">
        <v>1.67</v>
      </c>
      <c r="C376" s="1">
        <v>2.5059361457824711</v>
      </c>
      <c r="D376" s="1">
        <f t="shared" si="10"/>
        <v>0.83593614578247122</v>
      </c>
      <c r="E376" s="1">
        <f t="shared" si="11"/>
        <v>0.698789239825653</v>
      </c>
    </row>
    <row r="377" spans="1:5" x14ac:dyDescent="0.35">
      <c r="A377" t="s">
        <v>377</v>
      </c>
      <c r="B377" s="1">
        <v>4.3899999999999997</v>
      </c>
      <c r="C377" s="1">
        <v>4.2704143524169922</v>
      </c>
      <c r="D377" s="1">
        <f t="shared" si="10"/>
        <v>0.11958564758300749</v>
      </c>
      <c r="E377" s="1">
        <f t="shared" si="11"/>
        <v>1.4300727107847265E-2</v>
      </c>
    </row>
    <row r="378" spans="1:5" x14ac:dyDescent="0.35">
      <c r="A378" t="s">
        <v>378</v>
      </c>
      <c r="B378" s="1">
        <v>3.96</v>
      </c>
      <c r="C378" s="1">
        <v>3.684730052947998</v>
      </c>
      <c r="D378" s="1">
        <f t="shared" si="10"/>
        <v>0.27526994705200192</v>
      </c>
      <c r="E378" s="1">
        <f t="shared" si="11"/>
        <v>7.577354375001194E-2</v>
      </c>
    </row>
    <row r="379" spans="1:5" x14ac:dyDescent="0.35">
      <c r="A379" t="s">
        <v>379</v>
      </c>
      <c r="B379" s="1">
        <v>4.05</v>
      </c>
      <c r="C379" s="1">
        <v>3.7918918132781978</v>
      </c>
      <c r="D379" s="1">
        <f t="shared" si="10"/>
        <v>0.25810818672180202</v>
      </c>
      <c r="E379" s="1">
        <f t="shared" si="11"/>
        <v>6.6619836052816614E-2</v>
      </c>
    </row>
    <row r="380" spans="1:5" x14ac:dyDescent="0.35">
      <c r="A380" t="s">
        <v>380</v>
      </c>
      <c r="B380" s="1">
        <v>2.8</v>
      </c>
      <c r="C380" s="1">
        <v>3.0679810047149658</v>
      </c>
      <c r="D380" s="1">
        <f t="shared" si="10"/>
        <v>0.267981004714966</v>
      </c>
      <c r="E380" s="1">
        <f t="shared" si="11"/>
        <v>7.1813818888042627E-2</v>
      </c>
    </row>
    <row r="381" spans="1:5" x14ac:dyDescent="0.35">
      <c r="A381" t="s">
        <v>381</v>
      </c>
      <c r="B381" s="1">
        <v>4.1399999999999997</v>
      </c>
      <c r="C381" s="1">
        <v>4.4693374633789063</v>
      </c>
      <c r="D381" s="1">
        <f t="shared" si="10"/>
        <v>0.32933746337890657</v>
      </c>
      <c r="E381" s="1">
        <f t="shared" si="11"/>
        <v>0.10846316478485263</v>
      </c>
    </row>
    <row r="382" spans="1:5" x14ac:dyDescent="0.35">
      <c r="A382" t="s">
        <v>382</v>
      </c>
      <c r="B382" s="1">
        <v>2.85</v>
      </c>
      <c r="C382" s="1">
        <v>3.2814404964447021</v>
      </c>
      <c r="D382" s="1">
        <f t="shared" si="10"/>
        <v>0.43144049644470206</v>
      </c>
      <c r="E382" s="1">
        <f t="shared" si="11"/>
        <v>0.18614090197245098</v>
      </c>
    </row>
    <row r="383" spans="1:5" x14ac:dyDescent="0.35">
      <c r="A383" t="s">
        <v>383</v>
      </c>
      <c r="B383" s="1">
        <v>4.34</v>
      </c>
      <c r="C383" s="1">
        <v>4.4184155464172363</v>
      </c>
      <c r="D383" s="1">
        <f t="shared" si="10"/>
        <v>7.841554641723647E-2</v>
      </c>
      <c r="E383" s="1">
        <f t="shared" si="11"/>
        <v>6.1489979199137674E-3</v>
      </c>
    </row>
    <row r="384" spans="1:5" x14ac:dyDescent="0.35">
      <c r="A384" t="s">
        <v>384</v>
      </c>
      <c r="B384" s="1">
        <v>2.4700000000000002</v>
      </c>
      <c r="C384" s="1">
        <v>3.5112161636352539</v>
      </c>
      <c r="D384" s="1">
        <f t="shared" si="10"/>
        <v>1.0412161636352537</v>
      </c>
      <c r="E384" s="1">
        <f t="shared" si="11"/>
        <v>1.0841310994153155</v>
      </c>
    </row>
    <row r="385" spans="1:5" x14ac:dyDescent="0.35">
      <c r="A385" t="s">
        <v>385</v>
      </c>
      <c r="B385" s="1">
        <v>4.5</v>
      </c>
      <c r="C385" s="1">
        <v>4.4810318946838379</v>
      </c>
      <c r="D385" s="1">
        <f t="shared" si="10"/>
        <v>1.8968105316162109E-2</v>
      </c>
      <c r="E385" s="1">
        <f t="shared" si="11"/>
        <v>3.5978901928501728E-4</v>
      </c>
    </row>
    <row r="386" spans="1:5" x14ac:dyDescent="0.35">
      <c r="A386" t="s">
        <v>386</v>
      </c>
      <c r="B386" s="1">
        <v>2.94</v>
      </c>
      <c r="C386" s="1">
        <v>3.2430489063262939</v>
      </c>
      <c r="D386" s="1">
        <f t="shared" si="10"/>
        <v>0.303048906326294</v>
      </c>
      <c r="E386" s="1">
        <f t="shared" si="11"/>
        <v>9.1838639625562921E-2</v>
      </c>
    </row>
    <row r="387" spans="1:5" x14ac:dyDescent="0.35">
      <c r="A387" t="s">
        <v>387</v>
      </c>
      <c r="B387" s="1">
        <v>4.6100000000000003</v>
      </c>
      <c r="C387" s="1">
        <v>4.7163252830505371</v>
      </c>
      <c r="D387" s="1">
        <f t="shared" ref="D387:D450" si="12">ABS(B387-C387)</f>
        <v>0.10632528305053679</v>
      </c>
      <c r="E387" s="1">
        <f t="shared" ref="E387:E450" si="13">(B387-C387)^2</f>
        <v>1.1305065815776765E-2</v>
      </c>
    </row>
    <row r="388" spans="1:5" x14ac:dyDescent="0.35">
      <c r="A388" t="s">
        <v>388</v>
      </c>
      <c r="B388" s="1">
        <v>2.19</v>
      </c>
      <c r="C388" s="1">
        <v>3.758255243301392</v>
      </c>
      <c r="D388" s="1">
        <f t="shared" si="12"/>
        <v>1.5682552433013921</v>
      </c>
      <c r="E388" s="1">
        <f t="shared" si="13"/>
        <v>2.4594245081423085</v>
      </c>
    </row>
    <row r="389" spans="1:5" x14ac:dyDescent="0.35">
      <c r="A389" t="s">
        <v>389</v>
      </c>
      <c r="B389" s="1">
        <v>1.33</v>
      </c>
      <c r="C389" s="1">
        <v>1.7018847465515139</v>
      </c>
      <c r="D389" s="1">
        <f t="shared" si="12"/>
        <v>0.37188474655151382</v>
      </c>
      <c r="E389" s="1">
        <f t="shared" si="13"/>
        <v>0.13829826471768367</v>
      </c>
    </row>
    <row r="390" spans="1:5" x14ac:dyDescent="0.35">
      <c r="A390" t="s">
        <v>390</v>
      </c>
      <c r="B390" s="1">
        <v>4.2699999999999996</v>
      </c>
      <c r="C390" s="1">
        <v>4.5688467025756836</v>
      </c>
      <c r="D390" s="1">
        <f t="shared" si="12"/>
        <v>0.29884670257568402</v>
      </c>
      <c r="E390" s="1">
        <f t="shared" si="13"/>
        <v>8.9309351640359344E-2</v>
      </c>
    </row>
    <row r="391" spans="1:5" x14ac:dyDescent="0.35">
      <c r="A391" t="s">
        <v>391</v>
      </c>
      <c r="B391" s="1">
        <v>1.86</v>
      </c>
      <c r="C391" s="1">
        <v>1.5629429817199709</v>
      </c>
      <c r="D391" s="1">
        <f t="shared" si="12"/>
        <v>0.29705701828002917</v>
      </c>
      <c r="E391" s="1">
        <f t="shared" si="13"/>
        <v>8.8242872109421583E-2</v>
      </c>
    </row>
    <row r="392" spans="1:5" x14ac:dyDescent="0.35">
      <c r="A392" t="s">
        <v>392</v>
      </c>
      <c r="B392" s="1">
        <v>4.7300000000000004</v>
      </c>
      <c r="C392" s="1">
        <v>4.2498059272766113</v>
      </c>
      <c r="D392" s="1">
        <f t="shared" si="12"/>
        <v>0.4801940727233891</v>
      </c>
      <c r="E392" s="1">
        <f t="shared" si="13"/>
        <v>0.23058634747867549</v>
      </c>
    </row>
    <row r="393" spans="1:5" x14ac:dyDescent="0.35">
      <c r="A393" t="s">
        <v>393</v>
      </c>
      <c r="B393" s="1">
        <v>4.67</v>
      </c>
      <c r="C393" s="1">
        <v>4.2779650688171387</v>
      </c>
      <c r="D393" s="1">
        <f t="shared" si="12"/>
        <v>0.39203493118286126</v>
      </c>
      <c r="E393" s="1">
        <f t="shared" si="13"/>
        <v>0.15369138726755077</v>
      </c>
    </row>
    <row r="394" spans="1:5" x14ac:dyDescent="0.35">
      <c r="A394" t="s">
        <v>394</v>
      </c>
      <c r="B394" s="1">
        <v>1.47</v>
      </c>
      <c r="C394" s="1">
        <v>1.926515460014343</v>
      </c>
      <c r="D394" s="1">
        <f t="shared" si="12"/>
        <v>0.45651546001434307</v>
      </c>
      <c r="E394" s="1">
        <f t="shared" si="13"/>
        <v>0.20840636523210726</v>
      </c>
    </row>
    <row r="395" spans="1:5" x14ac:dyDescent="0.35">
      <c r="A395" t="s">
        <v>395</v>
      </c>
      <c r="B395" s="1">
        <v>4.07</v>
      </c>
      <c r="C395" s="1">
        <v>4.3787140846252441</v>
      </c>
      <c r="D395" s="1">
        <f t="shared" si="12"/>
        <v>0.30871408462524386</v>
      </c>
      <c r="E395" s="1">
        <f t="shared" si="13"/>
        <v>9.5304386046002221E-2</v>
      </c>
    </row>
    <row r="396" spans="1:5" x14ac:dyDescent="0.35">
      <c r="A396" t="s">
        <v>396</v>
      </c>
      <c r="B396" s="1">
        <v>3.76</v>
      </c>
      <c r="C396" s="1">
        <v>3.9036886692047119</v>
      </c>
      <c r="D396" s="1">
        <f t="shared" si="12"/>
        <v>0.14368866920471213</v>
      </c>
      <c r="E396" s="1">
        <f t="shared" si="13"/>
        <v>2.0646433657821189E-2</v>
      </c>
    </row>
    <row r="397" spans="1:5" x14ac:dyDescent="0.35">
      <c r="A397" t="s">
        <v>397</v>
      </c>
      <c r="B397" s="1">
        <v>3.86</v>
      </c>
      <c r="C397" s="1">
        <v>4.1230545043945313</v>
      </c>
      <c r="D397" s="1">
        <f t="shared" si="12"/>
        <v>0.26305450439453137</v>
      </c>
      <c r="E397" s="1">
        <f t="shared" si="13"/>
        <v>6.9197672282252529E-2</v>
      </c>
    </row>
    <row r="398" spans="1:5" x14ac:dyDescent="0.35">
      <c r="A398" t="s">
        <v>398</v>
      </c>
      <c r="B398" s="1">
        <v>3.6</v>
      </c>
      <c r="C398" s="1">
        <v>3.79230809211731</v>
      </c>
      <c r="D398" s="1">
        <f t="shared" si="12"/>
        <v>0.19230809211730993</v>
      </c>
      <c r="E398" s="1">
        <f t="shared" si="13"/>
        <v>3.698240229379976E-2</v>
      </c>
    </row>
    <row r="399" spans="1:5" x14ac:dyDescent="0.35">
      <c r="A399" t="s">
        <v>399</v>
      </c>
      <c r="B399" s="1">
        <v>4.32</v>
      </c>
      <c r="C399" s="1">
        <v>4.3334288597106934</v>
      </c>
      <c r="D399" s="1">
        <f t="shared" si="12"/>
        <v>1.3428859710693075E-2</v>
      </c>
      <c r="E399" s="1">
        <f t="shared" si="13"/>
        <v>1.803342731294757E-4</v>
      </c>
    </row>
    <row r="400" spans="1:5" x14ac:dyDescent="0.35">
      <c r="A400" t="s">
        <v>400</v>
      </c>
      <c r="B400" s="1">
        <v>2.94</v>
      </c>
      <c r="C400" s="1">
        <v>2.980761051177979</v>
      </c>
      <c r="D400" s="1">
        <f t="shared" si="12"/>
        <v>4.0761051177979013E-2</v>
      </c>
      <c r="E400" s="1">
        <f t="shared" si="13"/>
        <v>1.6614632931338242E-3</v>
      </c>
    </row>
    <row r="401" spans="1:5" x14ac:dyDescent="0.35">
      <c r="A401" t="s">
        <v>401</v>
      </c>
      <c r="B401" s="1">
        <v>1.74</v>
      </c>
      <c r="C401" s="1">
        <v>1.967409014701843</v>
      </c>
      <c r="D401" s="1">
        <f t="shared" si="12"/>
        <v>0.22740901470184305</v>
      </c>
      <c r="E401" s="1">
        <f t="shared" si="13"/>
        <v>5.171485996766307E-2</v>
      </c>
    </row>
    <row r="402" spans="1:5" x14ac:dyDescent="0.35">
      <c r="A402" t="s">
        <v>402</v>
      </c>
      <c r="B402" s="1">
        <v>4.55</v>
      </c>
      <c r="C402" s="1">
        <v>3.34247875213623</v>
      </c>
      <c r="D402" s="1">
        <f t="shared" si="12"/>
        <v>1.2075212478637698</v>
      </c>
      <c r="E402" s="1">
        <f t="shared" si="13"/>
        <v>1.4581075640424759</v>
      </c>
    </row>
    <row r="403" spans="1:5" x14ac:dyDescent="0.35">
      <c r="A403" t="s">
        <v>403</v>
      </c>
      <c r="B403" s="1">
        <v>2.14</v>
      </c>
      <c r="C403" s="1">
        <v>2.8824126720428471</v>
      </c>
      <c r="D403" s="1">
        <f t="shared" si="12"/>
        <v>0.742412672042847</v>
      </c>
      <c r="E403" s="1">
        <f t="shared" si="13"/>
        <v>0.55117657560979993</v>
      </c>
    </row>
    <row r="404" spans="1:5" x14ac:dyDescent="0.35">
      <c r="A404" t="s">
        <v>404</v>
      </c>
      <c r="B404" s="1">
        <v>1.44</v>
      </c>
      <c r="C404" s="1">
        <v>2.056155920028687</v>
      </c>
      <c r="D404" s="1">
        <f t="shared" si="12"/>
        <v>0.61615592002868702</v>
      </c>
      <c r="E404" s="1">
        <f t="shared" si="13"/>
        <v>0.37964811778639773</v>
      </c>
    </row>
    <row r="405" spans="1:5" x14ac:dyDescent="0.35">
      <c r="A405" t="s">
        <v>405</v>
      </c>
      <c r="B405" s="1">
        <v>4.1100000000000003</v>
      </c>
      <c r="C405" s="1">
        <v>4.2979059219360352</v>
      </c>
      <c r="D405" s="1">
        <f t="shared" si="12"/>
        <v>0.18790592193603484</v>
      </c>
      <c r="E405" s="1">
        <f t="shared" si="13"/>
        <v>3.5308635498631218E-2</v>
      </c>
    </row>
    <row r="406" spans="1:5" x14ac:dyDescent="0.35">
      <c r="A406" t="s">
        <v>406</v>
      </c>
      <c r="B406" s="1">
        <v>3.96</v>
      </c>
      <c r="C406" s="1">
        <v>3.975058794021606</v>
      </c>
      <c r="D406" s="1">
        <f t="shared" si="12"/>
        <v>1.5058794021606037E-2</v>
      </c>
      <c r="E406" s="1">
        <f t="shared" si="13"/>
        <v>2.2676727738515771E-4</v>
      </c>
    </row>
    <row r="407" spans="1:5" x14ac:dyDescent="0.35">
      <c r="A407" t="s">
        <v>407</v>
      </c>
      <c r="B407" s="1">
        <v>1.68</v>
      </c>
      <c r="C407" s="1">
        <v>1.8952779769897461</v>
      </c>
      <c r="D407" s="1">
        <f t="shared" si="12"/>
        <v>0.21527797698974616</v>
      </c>
      <c r="E407" s="1">
        <f t="shared" si="13"/>
        <v>4.6344607376797672E-2</v>
      </c>
    </row>
    <row r="408" spans="1:5" x14ac:dyDescent="0.35">
      <c r="A408" t="s">
        <v>408</v>
      </c>
      <c r="B408" s="1">
        <v>4.5599999999999996</v>
      </c>
      <c r="C408" s="1">
        <v>4.2811198234558114</v>
      </c>
      <c r="D408" s="1">
        <f t="shared" si="12"/>
        <v>0.27888017654418817</v>
      </c>
      <c r="E408" s="1">
        <f t="shared" si="13"/>
        <v>7.7774152869317562E-2</v>
      </c>
    </row>
    <row r="409" spans="1:5" x14ac:dyDescent="0.35">
      <c r="A409" t="s">
        <v>409</v>
      </c>
      <c r="B409" s="1">
        <v>4.32</v>
      </c>
      <c r="C409" s="1">
        <v>3.996063232421875</v>
      </c>
      <c r="D409" s="1">
        <f t="shared" si="12"/>
        <v>0.32393676757812528</v>
      </c>
      <c r="E409" s="1">
        <f t="shared" si="13"/>
        <v>0.10493502938896436</v>
      </c>
    </row>
    <row r="410" spans="1:5" x14ac:dyDescent="0.35">
      <c r="A410" t="s">
        <v>410</v>
      </c>
      <c r="B410" s="1">
        <v>3.57</v>
      </c>
      <c r="C410" s="1">
        <v>3.1651113033294682</v>
      </c>
      <c r="D410" s="1">
        <f t="shared" si="12"/>
        <v>0.40488869667053162</v>
      </c>
      <c r="E410" s="1">
        <f t="shared" si="13"/>
        <v>0.16393485669156177</v>
      </c>
    </row>
    <row r="411" spans="1:5" x14ac:dyDescent="0.35">
      <c r="A411" t="s">
        <v>411</v>
      </c>
      <c r="B411" s="1">
        <v>3.74</v>
      </c>
      <c r="C411" s="1">
        <v>3.3698136806488042</v>
      </c>
      <c r="D411" s="1">
        <f t="shared" si="12"/>
        <v>0.37018631935119606</v>
      </c>
      <c r="E411" s="1">
        <f t="shared" si="13"/>
        <v>0.13703791103478571</v>
      </c>
    </row>
    <row r="412" spans="1:5" x14ac:dyDescent="0.35">
      <c r="A412" t="s">
        <v>412</v>
      </c>
      <c r="B412" s="1">
        <v>2.9</v>
      </c>
      <c r="C412" s="1">
        <v>2.4807038307189941</v>
      </c>
      <c r="D412" s="1">
        <f t="shared" si="12"/>
        <v>0.41929616928100577</v>
      </c>
      <c r="E412" s="1">
        <f t="shared" si="13"/>
        <v>0.17580927757372586</v>
      </c>
    </row>
    <row r="413" spans="1:5" x14ac:dyDescent="0.35">
      <c r="A413" t="s">
        <v>413</v>
      </c>
      <c r="B413" s="1">
        <v>4.62</v>
      </c>
      <c r="C413" s="1">
        <v>4.4241652488708496</v>
      </c>
      <c r="D413" s="1">
        <f t="shared" si="12"/>
        <v>0.1958347511291505</v>
      </c>
      <c r="E413" s="1">
        <f t="shared" si="13"/>
        <v>3.835124974981631E-2</v>
      </c>
    </row>
    <row r="414" spans="1:5" x14ac:dyDescent="0.35">
      <c r="A414" t="s">
        <v>414</v>
      </c>
      <c r="B414" s="1">
        <v>4.13</v>
      </c>
      <c r="C414" s="1">
        <v>3.6394250392913818</v>
      </c>
      <c r="D414" s="1">
        <f t="shared" si="12"/>
        <v>0.49057496070861806</v>
      </c>
      <c r="E414" s="1">
        <f t="shared" si="13"/>
        <v>0.24066379207426214</v>
      </c>
    </row>
    <row r="415" spans="1:5" x14ac:dyDescent="0.35">
      <c r="A415" t="s">
        <v>415</v>
      </c>
      <c r="B415" s="1">
        <v>1.26</v>
      </c>
      <c r="C415" s="1">
        <v>1.4618620872497561</v>
      </c>
      <c r="D415" s="1">
        <f t="shared" si="12"/>
        <v>0.20186208724975607</v>
      </c>
      <c r="E415" s="1">
        <f t="shared" si="13"/>
        <v>4.0748302268828133E-2</v>
      </c>
    </row>
    <row r="416" spans="1:5" x14ac:dyDescent="0.35">
      <c r="A416" t="s">
        <v>416</v>
      </c>
      <c r="B416" s="1">
        <v>3.47</v>
      </c>
      <c r="C416" s="1">
        <v>4.2007136344909668</v>
      </c>
      <c r="D416" s="1">
        <f t="shared" si="12"/>
        <v>0.7307136344909666</v>
      </c>
      <c r="E416" s="1">
        <f t="shared" si="13"/>
        <v>0.53394241563099798</v>
      </c>
    </row>
    <row r="417" spans="1:5" x14ac:dyDescent="0.35">
      <c r="A417" t="s">
        <v>417</v>
      </c>
      <c r="B417" s="1">
        <v>1.89</v>
      </c>
      <c r="C417" s="1">
        <v>1.9569826126098631</v>
      </c>
      <c r="D417" s="1">
        <f t="shared" si="12"/>
        <v>6.6982612609863157E-2</v>
      </c>
      <c r="E417" s="1">
        <f t="shared" si="13"/>
        <v>4.4866703920429987E-3</v>
      </c>
    </row>
    <row r="418" spans="1:5" x14ac:dyDescent="0.35">
      <c r="A418" t="s">
        <v>418</v>
      </c>
      <c r="B418" s="1">
        <v>3.36</v>
      </c>
      <c r="C418" s="1">
        <v>3.2196946144103999</v>
      </c>
      <c r="D418" s="1">
        <f t="shared" si="12"/>
        <v>0.14030538558959993</v>
      </c>
      <c r="E418" s="1">
        <f t="shared" si="13"/>
        <v>1.9685601225446315E-2</v>
      </c>
    </row>
    <row r="419" spans="1:5" x14ac:dyDescent="0.35">
      <c r="A419" t="s">
        <v>419</v>
      </c>
      <c r="B419" s="1">
        <v>1.79</v>
      </c>
      <c r="C419" s="1">
        <v>1.9969745874404909</v>
      </c>
      <c r="D419" s="1">
        <f t="shared" si="12"/>
        <v>0.20697458744049091</v>
      </c>
      <c r="E419" s="1">
        <f t="shared" si="13"/>
        <v>4.2838479846161417E-2</v>
      </c>
    </row>
    <row r="420" spans="1:5" x14ac:dyDescent="0.35">
      <c r="A420" t="s">
        <v>420</v>
      </c>
      <c r="B420" s="1">
        <v>4.16</v>
      </c>
      <c r="C420" s="1">
        <v>4.2308297157287598</v>
      </c>
      <c r="D420" s="1">
        <f t="shared" si="12"/>
        <v>7.0829715728759624E-2</v>
      </c>
      <c r="E420" s="1">
        <f t="shared" si="13"/>
        <v>5.0168486302168986E-3</v>
      </c>
    </row>
    <row r="421" spans="1:5" x14ac:dyDescent="0.35">
      <c r="A421" t="s">
        <v>421</v>
      </c>
      <c r="B421" s="1">
        <v>3.8</v>
      </c>
      <c r="C421" s="1">
        <v>3.4925129413604741</v>
      </c>
      <c r="D421" s="1">
        <f t="shared" si="12"/>
        <v>0.30748705863952575</v>
      </c>
      <c r="E421" s="1">
        <f t="shared" si="13"/>
        <v>9.4548291230787146E-2</v>
      </c>
    </row>
    <row r="422" spans="1:5" x14ac:dyDescent="0.35">
      <c r="A422" t="s">
        <v>422</v>
      </c>
      <c r="B422" s="1">
        <v>3.31</v>
      </c>
      <c r="C422" s="1">
        <v>2.8846392631530762</v>
      </c>
      <c r="D422" s="1">
        <f t="shared" si="12"/>
        <v>0.42536073684692388</v>
      </c>
      <c r="E422" s="1">
        <f t="shared" si="13"/>
        <v>0.18093175645095802</v>
      </c>
    </row>
    <row r="423" spans="1:5" x14ac:dyDescent="0.35">
      <c r="A423" t="s">
        <v>423</v>
      </c>
      <c r="B423" s="1">
        <v>4.43</v>
      </c>
      <c r="C423" s="1">
        <v>4.1290545463562012</v>
      </c>
      <c r="D423" s="1">
        <f t="shared" si="12"/>
        <v>0.30094545364379854</v>
      </c>
      <c r="E423" s="1">
        <f t="shared" si="13"/>
        <v>9.0568166068871692E-2</v>
      </c>
    </row>
    <row r="424" spans="1:5" x14ac:dyDescent="0.35">
      <c r="A424" t="s">
        <v>424</v>
      </c>
      <c r="B424" s="1">
        <v>4.17</v>
      </c>
      <c r="C424" s="1">
        <v>3.646461009979248</v>
      </c>
      <c r="D424" s="1">
        <f t="shared" si="12"/>
        <v>0.52353899002075188</v>
      </c>
      <c r="E424" s="1">
        <f t="shared" si="13"/>
        <v>0.27409307407194894</v>
      </c>
    </row>
    <row r="425" spans="1:5" x14ac:dyDescent="0.35">
      <c r="A425" t="s">
        <v>425</v>
      </c>
      <c r="B425" s="1">
        <v>1.59</v>
      </c>
      <c r="C425" s="1">
        <v>1.7036658525466919</v>
      </c>
      <c r="D425" s="1">
        <f t="shared" si="12"/>
        <v>0.11366585254669181</v>
      </c>
      <c r="E425" s="1">
        <f t="shared" si="13"/>
        <v>1.2919926035166287E-2</v>
      </c>
    </row>
    <row r="426" spans="1:5" x14ac:dyDescent="0.35">
      <c r="A426" t="s">
        <v>426</v>
      </c>
      <c r="B426" s="1">
        <v>4.49</v>
      </c>
      <c r="C426" s="1">
        <v>4.7196712493896484</v>
      </c>
      <c r="D426" s="1">
        <f t="shared" si="12"/>
        <v>0.22967124938964822</v>
      </c>
      <c r="E426" s="1">
        <f t="shared" si="13"/>
        <v>5.274888279620199E-2</v>
      </c>
    </row>
    <row r="427" spans="1:5" x14ac:dyDescent="0.35">
      <c r="A427" t="s">
        <v>427</v>
      </c>
      <c r="B427" s="1">
        <v>4.34</v>
      </c>
      <c r="C427" s="1">
        <v>4.5297627449035636</v>
      </c>
      <c r="D427" s="1">
        <f t="shared" si="12"/>
        <v>0.18976274490356371</v>
      </c>
      <c r="E427" s="1">
        <f t="shared" si="13"/>
        <v>3.6009899353334991E-2</v>
      </c>
    </row>
    <row r="428" spans="1:5" x14ac:dyDescent="0.35">
      <c r="A428" t="s">
        <v>428</v>
      </c>
      <c r="B428" s="1">
        <v>3.22</v>
      </c>
      <c r="C428" s="1">
        <v>3.524249792098999</v>
      </c>
      <c r="D428" s="1">
        <f t="shared" si="12"/>
        <v>0.30424979209899883</v>
      </c>
      <c r="E428" s="1">
        <f t="shared" si="13"/>
        <v>9.2567935992284009E-2</v>
      </c>
    </row>
    <row r="429" spans="1:5" x14ac:dyDescent="0.35">
      <c r="A429" t="s">
        <v>429</v>
      </c>
      <c r="B429" s="1">
        <v>4.4400000000000004</v>
      </c>
      <c r="C429" s="1">
        <v>4.6940932273864746</v>
      </c>
      <c r="D429" s="1">
        <f t="shared" si="12"/>
        <v>0.25409322738647422</v>
      </c>
      <c r="E429" s="1">
        <f t="shared" si="13"/>
        <v>6.456336820367449E-2</v>
      </c>
    </row>
    <row r="430" spans="1:5" x14ac:dyDescent="0.35">
      <c r="A430" t="s">
        <v>430</v>
      </c>
      <c r="B430" s="1">
        <v>2.91</v>
      </c>
      <c r="C430" s="1">
        <v>3.3206362724304199</v>
      </c>
      <c r="D430" s="1">
        <f t="shared" si="12"/>
        <v>0.41063627243041978</v>
      </c>
      <c r="E430" s="1">
        <f t="shared" si="13"/>
        <v>0.16862214823554994</v>
      </c>
    </row>
    <row r="431" spans="1:5" x14ac:dyDescent="0.35">
      <c r="A431" t="s">
        <v>431</v>
      </c>
      <c r="B431" s="1">
        <v>4.49</v>
      </c>
      <c r="C431" s="1">
        <v>4.6716585159301758</v>
      </c>
      <c r="D431" s="1">
        <f t="shared" si="12"/>
        <v>0.18165851593017557</v>
      </c>
      <c r="E431" s="1">
        <f t="shared" si="13"/>
        <v>3.299981640995385E-2</v>
      </c>
    </row>
    <row r="432" spans="1:5" x14ac:dyDescent="0.35">
      <c r="A432" t="s">
        <v>432</v>
      </c>
      <c r="B432" s="1">
        <v>3.84</v>
      </c>
      <c r="C432" s="1">
        <v>4.3918623924255371</v>
      </c>
      <c r="D432" s="1">
        <f t="shared" si="12"/>
        <v>0.55186239242553725</v>
      </c>
      <c r="E432" s="1">
        <f t="shared" si="13"/>
        <v>0.30455210017363765</v>
      </c>
    </row>
    <row r="433" spans="1:5" x14ac:dyDescent="0.35">
      <c r="A433" t="s">
        <v>433</v>
      </c>
      <c r="B433" s="1">
        <v>4.26</v>
      </c>
      <c r="C433" s="1">
        <v>4.638124942779541</v>
      </c>
      <c r="D433" s="1">
        <f t="shared" si="12"/>
        <v>0.37812494277954123</v>
      </c>
      <c r="E433" s="1">
        <f t="shared" si="13"/>
        <v>0.14297847235203132</v>
      </c>
    </row>
    <row r="434" spans="1:5" x14ac:dyDescent="0.35">
      <c r="A434" t="s">
        <v>434</v>
      </c>
      <c r="B434" s="1">
        <v>4.1399999999999997</v>
      </c>
      <c r="C434" s="1">
        <v>4.3099379539489746</v>
      </c>
      <c r="D434" s="1">
        <f t="shared" si="12"/>
        <v>0.16993795394897493</v>
      </c>
      <c r="E434" s="1">
        <f t="shared" si="13"/>
        <v>2.8878908192363925E-2</v>
      </c>
    </row>
    <row r="435" spans="1:5" x14ac:dyDescent="0.35">
      <c r="A435" t="s">
        <v>435</v>
      </c>
      <c r="B435" s="1">
        <v>3.04</v>
      </c>
      <c r="C435" s="1">
        <v>2.6065106391906738</v>
      </c>
      <c r="D435" s="1">
        <f t="shared" si="12"/>
        <v>0.43348936080932621</v>
      </c>
      <c r="E435" s="1">
        <f t="shared" si="13"/>
        <v>0.18791302593487819</v>
      </c>
    </row>
    <row r="436" spans="1:5" x14ac:dyDescent="0.35">
      <c r="A436" t="s">
        <v>436</v>
      </c>
      <c r="B436" s="1">
        <v>3.96</v>
      </c>
      <c r="C436" s="1">
        <v>4.5517592430114746</v>
      </c>
      <c r="D436" s="1">
        <f t="shared" si="12"/>
        <v>0.59175924301147464</v>
      </c>
      <c r="E436" s="1">
        <f t="shared" si="13"/>
        <v>0.35017900168951349</v>
      </c>
    </row>
    <row r="437" spans="1:5" x14ac:dyDescent="0.35">
      <c r="A437" t="s">
        <v>437</v>
      </c>
      <c r="B437" s="1">
        <v>2.82</v>
      </c>
      <c r="C437" s="1">
        <v>2.9116072654724121</v>
      </c>
      <c r="D437" s="1">
        <f t="shared" si="12"/>
        <v>9.1607265472412269E-2</v>
      </c>
      <c r="E437" s="1">
        <f t="shared" si="13"/>
        <v>8.3918910873330178E-3</v>
      </c>
    </row>
    <row r="438" spans="1:5" x14ac:dyDescent="0.35">
      <c r="A438" t="s">
        <v>438</v>
      </c>
      <c r="B438" s="1">
        <v>3.74</v>
      </c>
      <c r="C438" s="1">
        <v>3.9284143447875981</v>
      </c>
      <c r="D438" s="1">
        <f t="shared" si="12"/>
        <v>0.18841434478759789</v>
      </c>
      <c r="E438" s="1">
        <f t="shared" si="13"/>
        <v>3.5499965321739817E-2</v>
      </c>
    </row>
    <row r="439" spans="1:5" x14ac:dyDescent="0.35">
      <c r="A439" t="s">
        <v>439</v>
      </c>
      <c r="B439" s="1">
        <v>3.58</v>
      </c>
      <c r="C439" s="1">
        <v>3.6944906711578369</v>
      </c>
      <c r="D439" s="1">
        <f t="shared" si="12"/>
        <v>0.11449067115783684</v>
      </c>
      <c r="E439" s="1">
        <f t="shared" si="13"/>
        <v>1.3108113782171932E-2</v>
      </c>
    </row>
    <row r="440" spans="1:5" x14ac:dyDescent="0.35">
      <c r="A440" t="s">
        <v>440</v>
      </c>
      <c r="B440" s="1">
        <v>3.93</v>
      </c>
      <c r="C440" s="1">
        <v>4.0503392219543457</v>
      </c>
      <c r="D440" s="1">
        <f t="shared" si="12"/>
        <v>0.12033922195434554</v>
      </c>
      <c r="E440" s="1">
        <f t="shared" si="13"/>
        <v>1.448152834057724E-2</v>
      </c>
    </row>
    <row r="441" spans="1:5" x14ac:dyDescent="0.35">
      <c r="A441" t="s">
        <v>441</v>
      </c>
      <c r="B441" s="1">
        <v>3.1</v>
      </c>
      <c r="C441" s="1">
        <v>3.24766993522644</v>
      </c>
      <c r="D441" s="1">
        <f t="shared" si="12"/>
        <v>0.1476699352264399</v>
      </c>
      <c r="E441" s="1">
        <f t="shared" si="13"/>
        <v>2.1806409769780953E-2</v>
      </c>
    </row>
    <row r="442" spans="1:5" x14ac:dyDescent="0.35">
      <c r="A442" t="s">
        <v>442</v>
      </c>
      <c r="B442" s="1">
        <v>3.9</v>
      </c>
      <c r="C442" s="1">
        <v>3.8799529075622559</v>
      </c>
      <c r="D442" s="1">
        <f t="shared" si="12"/>
        <v>2.0047092437744052E-2</v>
      </c>
      <c r="E442" s="1">
        <f t="shared" si="13"/>
        <v>4.0188591520745474E-4</v>
      </c>
    </row>
    <row r="443" spans="1:5" x14ac:dyDescent="0.35">
      <c r="A443" t="s">
        <v>443</v>
      </c>
      <c r="B443" s="1">
        <v>3.36</v>
      </c>
      <c r="C443" s="1">
        <v>2.9614217281341548</v>
      </c>
      <c r="D443" s="1">
        <f t="shared" si="12"/>
        <v>0.39857827186584505</v>
      </c>
      <c r="E443" s="1">
        <f t="shared" si="13"/>
        <v>0.1588646388035635</v>
      </c>
    </row>
    <row r="444" spans="1:5" x14ac:dyDescent="0.35">
      <c r="A444" t="s">
        <v>444</v>
      </c>
      <c r="B444" s="1">
        <v>4.3099999999999996</v>
      </c>
      <c r="C444" s="1">
        <v>4.5831336975097656</v>
      </c>
      <c r="D444" s="1">
        <f t="shared" si="12"/>
        <v>0.27313369750976602</v>
      </c>
      <c r="E444" s="1">
        <f t="shared" si="13"/>
        <v>7.4602016715356365E-2</v>
      </c>
    </row>
    <row r="445" spans="1:5" x14ac:dyDescent="0.35">
      <c r="A445" t="s">
        <v>445</v>
      </c>
      <c r="B445" s="1">
        <v>3.54</v>
      </c>
      <c r="C445" s="1">
        <v>4.0203948020935059</v>
      </c>
      <c r="D445" s="1">
        <f t="shared" si="12"/>
        <v>0.48039480209350582</v>
      </c>
      <c r="E445" s="1">
        <f t="shared" si="13"/>
        <v>0.23077916587845862</v>
      </c>
    </row>
    <row r="446" spans="1:5" x14ac:dyDescent="0.35">
      <c r="A446" t="s">
        <v>446</v>
      </c>
      <c r="B446" s="1">
        <v>2.29</v>
      </c>
      <c r="C446" s="1">
        <v>1.930749773979187</v>
      </c>
      <c r="D446" s="1">
        <f t="shared" si="12"/>
        <v>0.35925022602081302</v>
      </c>
      <c r="E446" s="1">
        <f t="shared" si="13"/>
        <v>0.12906072489600523</v>
      </c>
    </row>
    <row r="447" spans="1:5" x14ac:dyDescent="0.35">
      <c r="A447" t="s">
        <v>447</v>
      </c>
      <c r="B447" s="1">
        <v>4.33</v>
      </c>
      <c r="C447" s="1">
        <v>4.579442024230957</v>
      </c>
      <c r="D447" s="1">
        <f t="shared" si="12"/>
        <v>0.24944202423095696</v>
      </c>
      <c r="E447" s="1">
        <f t="shared" si="13"/>
        <v>6.2221323452437319E-2</v>
      </c>
    </row>
    <row r="448" spans="1:5" x14ac:dyDescent="0.35">
      <c r="A448" t="s">
        <v>448</v>
      </c>
      <c r="B448" s="1">
        <v>2.92</v>
      </c>
      <c r="C448" s="1">
        <v>2.7840440273284912</v>
      </c>
      <c r="D448" s="1">
        <f t="shared" si="12"/>
        <v>0.13595597267150872</v>
      </c>
      <c r="E448" s="1">
        <f t="shared" si="13"/>
        <v>1.8484026505056025E-2</v>
      </c>
    </row>
    <row r="449" spans="1:5" x14ac:dyDescent="0.35">
      <c r="A449" t="s">
        <v>449</v>
      </c>
      <c r="B449" s="1">
        <v>4.37</v>
      </c>
      <c r="C449" s="1">
        <v>4.5238752365112296</v>
      </c>
      <c r="D449" s="1">
        <f t="shared" si="12"/>
        <v>0.15387523651122947</v>
      </c>
      <c r="E449" s="1">
        <f t="shared" si="13"/>
        <v>2.3677588411386809E-2</v>
      </c>
    </row>
    <row r="450" spans="1:5" x14ac:dyDescent="0.35">
      <c r="A450" t="s">
        <v>450</v>
      </c>
      <c r="B450" s="1">
        <v>3.81</v>
      </c>
      <c r="C450" s="1">
        <v>3.4395556449890141</v>
      </c>
      <c r="D450" s="1">
        <f t="shared" si="12"/>
        <v>0.37044435501098594</v>
      </c>
      <c r="E450" s="1">
        <f t="shared" si="13"/>
        <v>0.13722902015950539</v>
      </c>
    </row>
    <row r="451" spans="1:5" x14ac:dyDescent="0.35">
      <c r="A451" t="s">
        <v>451</v>
      </c>
      <c r="B451" s="1">
        <v>1.4</v>
      </c>
      <c r="C451" s="1">
        <v>1.327999949455261</v>
      </c>
      <c r="D451" s="1">
        <f t="shared" ref="D451:D514" si="14">ABS(B451-C451)</f>
        <v>7.2000050544738903E-2</v>
      </c>
      <c r="E451" s="1">
        <f t="shared" ref="E451:E514" si="15">(B451-C451)^2</f>
        <v>5.1840072784449564E-3</v>
      </c>
    </row>
    <row r="452" spans="1:5" x14ac:dyDescent="0.35">
      <c r="A452" t="s">
        <v>452</v>
      </c>
      <c r="B452" s="1">
        <v>3.63</v>
      </c>
      <c r="C452" s="1">
        <v>4.1240205764770508</v>
      </c>
      <c r="D452" s="1">
        <f t="shared" si="14"/>
        <v>0.49402057647705089</v>
      </c>
      <c r="E452" s="1">
        <f t="shared" si="15"/>
        <v>0.24405632998271767</v>
      </c>
    </row>
    <row r="453" spans="1:5" x14ac:dyDescent="0.35">
      <c r="A453" t="s">
        <v>453</v>
      </c>
      <c r="B453" s="1">
        <v>2.21</v>
      </c>
      <c r="C453" s="1">
        <v>2.3356869220733638</v>
      </c>
      <c r="D453" s="1">
        <f t="shared" si="14"/>
        <v>0.12568692207336385</v>
      </c>
      <c r="E453" s="1">
        <f t="shared" si="15"/>
        <v>1.5797202380275838E-2</v>
      </c>
    </row>
    <row r="454" spans="1:5" x14ac:dyDescent="0.35">
      <c r="A454" t="s">
        <v>454</v>
      </c>
      <c r="B454" s="1">
        <v>3.96</v>
      </c>
      <c r="C454" s="1">
        <v>4.0578341484069824</v>
      </c>
      <c r="D454" s="1">
        <f t="shared" si="14"/>
        <v>9.7834148406982457E-2</v>
      </c>
      <c r="E454" s="1">
        <f t="shared" si="15"/>
        <v>9.5715205945194684E-3</v>
      </c>
    </row>
    <row r="455" spans="1:5" x14ac:dyDescent="0.35">
      <c r="A455" t="s">
        <v>455</v>
      </c>
      <c r="B455" s="1">
        <v>2.74</v>
      </c>
      <c r="C455" s="1">
        <v>2.550639390945435</v>
      </c>
      <c r="D455" s="1">
        <f t="shared" si="14"/>
        <v>0.1893606090545652</v>
      </c>
      <c r="E455" s="1">
        <f t="shared" si="15"/>
        <v>3.5857440261515883E-2</v>
      </c>
    </row>
    <row r="456" spans="1:5" x14ac:dyDescent="0.35">
      <c r="A456" t="s">
        <v>456</v>
      </c>
      <c r="B456" s="1">
        <v>3.72</v>
      </c>
      <c r="C456" s="1">
        <v>4.3272714614868164</v>
      </c>
      <c r="D456" s="1">
        <f t="shared" si="14"/>
        <v>0.60727146148681621</v>
      </c>
      <c r="E456" s="1">
        <f t="shared" si="15"/>
        <v>0.3687786279363337</v>
      </c>
    </row>
    <row r="457" spans="1:5" x14ac:dyDescent="0.35">
      <c r="A457" t="s">
        <v>457</v>
      </c>
      <c r="B457" s="1">
        <v>3.62</v>
      </c>
      <c r="C457" s="1">
        <v>3.7160100936889648</v>
      </c>
      <c r="D457" s="1">
        <f t="shared" si="14"/>
        <v>9.6010093688964737E-2</v>
      </c>
      <c r="E457" s="1">
        <f t="shared" si="15"/>
        <v>9.2179380901637863E-3</v>
      </c>
    </row>
    <row r="458" spans="1:5" x14ac:dyDescent="0.35">
      <c r="A458" t="s">
        <v>458</v>
      </c>
      <c r="B458" s="1">
        <v>4.0599999999999996</v>
      </c>
      <c r="C458" s="1">
        <v>4.2070655822753906</v>
      </c>
      <c r="D458" s="1">
        <f t="shared" si="14"/>
        <v>0.14706558227539102</v>
      </c>
      <c r="E458" s="1">
        <f t="shared" si="15"/>
        <v>2.1628285489999805E-2</v>
      </c>
    </row>
    <row r="459" spans="1:5" x14ac:dyDescent="0.35">
      <c r="A459" t="s">
        <v>459</v>
      </c>
      <c r="B459" s="1">
        <v>3.56</v>
      </c>
      <c r="C459" s="1">
        <v>3.4955930709838872</v>
      </c>
      <c r="D459" s="1">
        <f t="shared" si="14"/>
        <v>6.440692901611289E-2</v>
      </c>
      <c r="E459" s="1">
        <f t="shared" si="15"/>
        <v>4.1482525052866049E-3</v>
      </c>
    </row>
    <row r="460" spans="1:5" x14ac:dyDescent="0.35">
      <c r="A460" t="s">
        <v>460</v>
      </c>
      <c r="B460" s="1">
        <v>3.54</v>
      </c>
      <c r="C460" s="1">
        <v>3.7859728336334229</v>
      </c>
      <c r="D460" s="1">
        <f t="shared" si="14"/>
        <v>0.24597283363342282</v>
      </c>
      <c r="E460" s="1">
        <f t="shared" si="15"/>
        <v>6.05026348856555E-2</v>
      </c>
    </row>
    <row r="461" spans="1:5" x14ac:dyDescent="0.35">
      <c r="A461" t="s">
        <v>461</v>
      </c>
      <c r="B461" s="1">
        <v>3.17</v>
      </c>
      <c r="C461" s="1">
        <v>2.820021390914917</v>
      </c>
      <c r="D461" s="1">
        <f t="shared" si="14"/>
        <v>0.34997860908508294</v>
      </c>
      <c r="E461" s="1">
        <f t="shared" si="15"/>
        <v>0.12248502681712929</v>
      </c>
    </row>
    <row r="462" spans="1:5" x14ac:dyDescent="0.35">
      <c r="A462" t="s">
        <v>462</v>
      </c>
      <c r="B462" s="1">
        <v>4.47</v>
      </c>
      <c r="C462" s="1">
        <v>4.3446550369262704</v>
      </c>
      <c r="D462" s="1">
        <f t="shared" si="14"/>
        <v>0.12534496307372933</v>
      </c>
      <c r="E462" s="1">
        <f t="shared" si="15"/>
        <v>1.5711359767954569E-2</v>
      </c>
    </row>
    <row r="463" spans="1:5" x14ac:dyDescent="0.35">
      <c r="A463" t="s">
        <v>463</v>
      </c>
      <c r="B463" s="1">
        <v>2.14</v>
      </c>
      <c r="C463" s="1">
        <v>1.666812419891357</v>
      </c>
      <c r="D463" s="1">
        <f t="shared" si="14"/>
        <v>0.47318758010864315</v>
      </c>
      <c r="E463" s="1">
        <f t="shared" si="15"/>
        <v>0.22390648596907359</v>
      </c>
    </row>
    <row r="464" spans="1:5" x14ac:dyDescent="0.35">
      <c r="A464" t="s">
        <v>464</v>
      </c>
      <c r="B464" s="1">
        <v>1.4</v>
      </c>
      <c r="C464" s="1">
        <v>1.279433131217957</v>
      </c>
      <c r="D464" s="1">
        <f t="shared" si="14"/>
        <v>0.12056686878204292</v>
      </c>
      <c r="E464" s="1">
        <f t="shared" si="15"/>
        <v>1.4536369847906357E-2</v>
      </c>
    </row>
    <row r="465" spans="1:5" x14ac:dyDescent="0.35">
      <c r="A465" t="s">
        <v>465</v>
      </c>
      <c r="B465" s="1">
        <v>4.47</v>
      </c>
      <c r="C465" s="1">
        <v>4.3024387359619141</v>
      </c>
      <c r="D465" s="1">
        <f t="shared" si="14"/>
        <v>0.16756126403808569</v>
      </c>
      <c r="E465" s="1">
        <f t="shared" si="15"/>
        <v>2.8076777206041067E-2</v>
      </c>
    </row>
    <row r="466" spans="1:5" x14ac:dyDescent="0.35">
      <c r="A466" t="s">
        <v>466</v>
      </c>
      <c r="B466" s="1">
        <v>2.5</v>
      </c>
      <c r="C466" s="1">
        <v>2.050012350082397</v>
      </c>
      <c r="D466" s="1">
        <f t="shared" si="14"/>
        <v>0.44998764991760298</v>
      </c>
      <c r="E466" s="1">
        <f t="shared" si="15"/>
        <v>0.20248888507836721</v>
      </c>
    </row>
    <row r="467" spans="1:5" x14ac:dyDescent="0.35">
      <c r="A467" t="s">
        <v>467</v>
      </c>
      <c r="B467" s="1">
        <v>4.51</v>
      </c>
      <c r="C467" s="1">
        <v>4.3365721702575684</v>
      </c>
      <c r="D467" s="1">
        <f t="shared" si="14"/>
        <v>0.17342782974243143</v>
      </c>
      <c r="E467" s="1">
        <f t="shared" si="15"/>
        <v>3.0077212129169782E-2</v>
      </c>
    </row>
    <row r="468" spans="1:5" x14ac:dyDescent="0.35">
      <c r="A468" t="s">
        <v>468</v>
      </c>
      <c r="B468" s="1">
        <v>3.31</v>
      </c>
      <c r="C468" s="1">
        <v>2.2948868274688721</v>
      </c>
      <c r="D468" s="1">
        <f t="shared" si="14"/>
        <v>1.015113172531128</v>
      </c>
      <c r="E468" s="1">
        <f t="shared" si="15"/>
        <v>1.0304547530462116</v>
      </c>
    </row>
    <row r="469" spans="1:5" x14ac:dyDescent="0.35">
      <c r="A469" t="s">
        <v>469</v>
      </c>
      <c r="B469" s="1">
        <v>1.19</v>
      </c>
      <c r="C469" s="1">
        <v>1.1439973115921021</v>
      </c>
      <c r="D469" s="1">
        <f t="shared" si="14"/>
        <v>4.6002688407897896E-2</v>
      </c>
      <c r="E469" s="1">
        <f t="shared" si="15"/>
        <v>2.1162473407541436E-3</v>
      </c>
    </row>
    <row r="470" spans="1:5" x14ac:dyDescent="0.35">
      <c r="A470" t="s">
        <v>470</v>
      </c>
      <c r="B470" s="1">
        <v>4.58</v>
      </c>
      <c r="C470" s="1">
        <v>4.4449019432067871</v>
      </c>
      <c r="D470" s="1">
        <f t="shared" si="14"/>
        <v>0.13509805679321296</v>
      </c>
      <c r="E470" s="1">
        <f t="shared" si="15"/>
        <v>1.8251484949302194E-2</v>
      </c>
    </row>
    <row r="471" spans="1:5" x14ac:dyDescent="0.35">
      <c r="A471" t="s">
        <v>471</v>
      </c>
      <c r="B471" s="1">
        <v>1.19</v>
      </c>
      <c r="C471" s="1">
        <v>1.2296077013015749</v>
      </c>
      <c r="D471" s="1">
        <f t="shared" si="14"/>
        <v>3.9607701301574982E-2</v>
      </c>
      <c r="E471" s="1">
        <f t="shared" si="15"/>
        <v>1.5687700023947846E-3</v>
      </c>
    </row>
    <row r="472" spans="1:5" x14ac:dyDescent="0.35">
      <c r="A472" t="s">
        <v>472</v>
      </c>
      <c r="B472" s="1">
        <v>3.59</v>
      </c>
      <c r="C472" s="1">
        <v>2.7798671722412109</v>
      </c>
      <c r="D472" s="1">
        <f t="shared" si="14"/>
        <v>0.81013282775878892</v>
      </c>
      <c r="E472" s="1">
        <f t="shared" si="15"/>
        <v>0.65631519861245158</v>
      </c>
    </row>
    <row r="473" spans="1:5" x14ac:dyDescent="0.35">
      <c r="A473" t="s">
        <v>473</v>
      </c>
      <c r="B473" s="1">
        <v>2.56</v>
      </c>
      <c r="C473" s="1">
        <v>2.2415158748626709</v>
      </c>
      <c r="D473" s="1">
        <f t="shared" si="14"/>
        <v>0.31848412513732915</v>
      </c>
      <c r="E473" s="1">
        <f t="shared" si="15"/>
        <v>0.10143213796448994</v>
      </c>
    </row>
    <row r="474" spans="1:5" x14ac:dyDescent="0.35">
      <c r="A474" t="s">
        <v>474</v>
      </c>
      <c r="B474" s="1">
        <v>4.2699999999999996</v>
      </c>
      <c r="C474" s="1">
        <v>3.8091332912445068</v>
      </c>
      <c r="D474" s="1">
        <f t="shared" si="14"/>
        <v>0.46086670875549274</v>
      </c>
      <c r="E474" s="1">
        <f t="shared" si="15"/>
        <v>0.21239812323912016</v>
      </c>
    </row>
    <row r="475" spans="1:5" x14ac:dyDescent="0.35">
      <c r="A475" t="s">
        <v>475</v>
      </c>
      <c r="B475" s="1">
        <v>1.76</v>
      </c>
      <c r="C475" s="1">
        <v>2.2595174312591548</v>
      </c>
      <c r="D475" s="1">
        <f t="shared" si="14"/>
        <v>0.49951743125915482</v>
      </c>
      <c r="E475" s="1">
        <f t="shared" si="15"/>
        <v>0.24951766413174445</v>
      </c>
    </row>
    <row r="476" spans="1:5" x14ac:dyDescent="0.35">
      <c r="A476" t="s">
        <v>476</v>
      </c>
      <c r="B476" s="1">
        <v>1.48</v>
      </c>
      <c r="C476" s="1">
        <v>1.70615553855896</v>
      </c>
      <c r="D476" s="1">
        <f t="shared" si="14"/>
        <v>0.22615553855895998</v>
      </c>
      <c r="E476" s="1">
        <f t="shared" si="15"/>
        <v>5.1146327620893231E-2</v>
      </c>
    </row>
    <row r="477" spans="1:5" x14ac:dyDescent="0.35">
      <c r="A477" t="s">
        <v>477</v>
      </c>
      <c r="B477" s="1">
        <v>4.45</v>
      </c>
      <c r="C477" s="1">
        <v>4.5087614059448242</v>
      </c>
      <c r="D477" s="1">
        <f t="shared" si="14"/>
        <v>5.8761405944824041E-2</v>
      </c>
      <c r="E477" s="1">
        <f t="shared" si="15"/>
        <v>3.4529028286124021E-3</v>
      </c>
    </row>
    <row r="478" spans="1:5" x14ac:dyDescent="0.35">
      <c r="A478" t="s">
        <v>478</v>
      </c>
      <c r="B478" s="1">
        <v>1.46</v>
      </c>
      <c r="C478" s="1">
        <v>1.3427184820175171</v>
      </c>
      <c r="D478" s="1">
        <f t="shared" si="14"/>
        <v>0.11728151798248287</v>
      </c>
      <c r="E478" s="1">
        <f t="shared" si="15"/>
        <v>1.3754954460275455E-2</v>
      </c>
    </row>
    <row r="479" spans="1:5" x14ac:dyDescent="0.35">
      <c r="A479" t="s">
        <v>479</v>
      </c>
      <c r="B479" s="1">
        <v>2.14</v>
      </c>
      <c r="C479" s="1">
        <v>2.3722076416015621</v>
      </c>
      <c r="D479" s="1">
        <f t="shared" si="14"/>
        <v>0.23220764160156193</v>
      </c>
      <c r="E479" s="1">
        <f t="shared" si="15"/>
        <v>5.3920388818159436E-2</v>
      </c>
    </row>
    <row r="480" spans="1:5" x14ac:dyDescent="0.35">
      <c r="A480" t="s">
        <v>480</v>
      </c>
      <c r="B480" s="1">
        <v>1.29</v>
      </c>
      <c r="C480" s="1">
        <v>1.3784534931182859</v>
      </c>
      <c r="D480" s="1">
        <f t="shared" si="14"/>
        <v>8.8453493118285875E-2</v>
      </c>
      <c r="E480" s="1">
        <f t="shared" si="15"/>
        <v>7.824020444826647E-3</v>
      </c>
    </row>
    <row r="481" spans="1:5" x14ac:dyDescent="0.35">
      <c r="A481" t="s">
        <v>481</v>
      </c>
      <c r="B481" s="1">
        <v>4.2300000000000004</v>
      </c>
      <c r="C481" s="1">
        <v>4.3524837493896484</v>
      </c>
      <c r="D481" s="1">
        <f t="shared" si="14"/>
        <v>0.12248374938964801</v>
      </c>
      <c r="E481" s="1">
        <f t="shared" si="15"/>
        <v>1.5002268864546099E-2</v>
      </c>
    </row>
    <row r="482" spans="1:5" x14ac:dyDescent="0.35">
      <c r="A482" t="s">
        <v>482</v>
      </c>
      <c r="B482" s="1">
        <v>4</v>
      </c>
      <c r="C482" s="1">
        <v>3.989489078521729</v>
      </c>
      <c r="D482" s="1">
        <f t="shared" si="14"/>
        <v>1.051092147827104E-2</v>
      </c>
      <c r="E482" s="1">
        <f t="shared" si="15"/>
        <v>1.1047947032237947E-4</v>
      </c>
    </row>
    <row r="483" spans="1:5" x14ac:dyDescent="0.35">
      <c r="A483" t="s">
        <v>483</v>
      </c>
      <c r="B483" s="1">
        <v>1.65</v>
      </c>
      <c r="C483" s="1">
        <v>1.390812873840332</v>
      </c>
      <c r="D483" s="1">
        <f t="shared" si="14"/>
        <v>0.25918712615966788</v>
      </c>
      <c r="E483" s="1">
        <f t="shared" si="15"/>
        <v>6.7177966366907593E-2</v>
      </c>
    </row>
    <row r="484" spans="1:5" x14ac:dyDescent="0.35">
      <c r="A484" t="s">
        <v>484</v>
      </c>
      <c r="B484" s="1">
        <v>4.3099999999999996</v>
      </c>
      <c r="C484" s="1">
        <v>4.4905929565429688</v>
      </c>
      <c r="D484" s="1">
        <f t="shared" si="14"/>
        <v>0.18059295654296914</v>
      </c>
      <c r="E484" s="1">
        <f t="shared" si="15"/>
        <v>3.2613815952930739E-2</v>
      </c>
    </row>
    <row r="485" spans="1:5" x14ac:dyDescent="0.35">
      <c r="A485" t="s">
        <v>485</v>
      </c>
      <c r="B485" s="1">
        <v>1.87</v>
      </c>
      <c r="C485" s="1">
        <v>2.008666038513184</v>
      </c>
      <c r="D485" s="1">
        <f t="shared" si="14"/>
        <v>0.13866603851318393</v>
      </c>
      <c r="E485" s="1">
        <f t="shared" si="15"/>
        <v>1.922827023693981E-2</v>
      </c>
    </row>
    <row r="486" spans="1:5" x14ac:dyDescent="0.35">
      <c r="A486" t="s">
        <v>486</v>
      </c>
      <c r="B486" s="1">
        <v>1.41</v>
      </c>
      <c r="C486" s="1">
        <v>1.4137668609619141</v>
      </c>
      <c r="D486" s="1">
        <f t="shared" si="14"/>
        <v>3.7668609619141424E-3</v>
      </c>
      <c r="E486" s="1">
        <f t="shared" si="15"/>
        <v>1.4189241506392739E-5</v>
      </c>
    </row>
    <row r="487" spans="1:5" x14ac:dyDescent="0.35">
      <c r="A487" t="s">
        <v>487</v>
      </c>
      <c r="B487" s="1">
        <v>3.58</v>
      </c>
      <c r="C487" s="1">
        <v>3.500397920608521</v>
      </c>
      <c r="D487" s="1">
        <f t="shared" si="14"/>
        <v>7.9602079391479119E-2</v>
      </c>
      <c r="E487" s="1">
        <f t="shared" si="15"/>
        <v>6.3364910434473443E-3</v>
      </c>
    </row>
    <row r="488" spans="1:5" x14ac:dyDescent="0.35">
      <c r="A488" t="s">
        <v>488</v>
      </c>
      <c r="B488" s="1">
        <v>1.76</v>
      </c>
      <c r="C488" s="1">
        <v>1.515186071395874</v>
      </c>
      <c r="D488" s="1">
        <f t="shared" si="14"/>
        <v>0.24481392860412599</v>
      </c>
      <c r="E488" s="1">
        <f t="shared" si="15"/>
        <v>5.9933859638586093E-2</v>
      </c>
    </row>
    <row r="489" spans="1:5" x14ac:dyDescent="0.35">
      <c r="A489" t="s">
        <v>489</v>
      </c>
      <c r="B489" s="1">
        <v>1.32</v>
      </c>
      <c r="C489" s="1">
        <v>1.205107450485229</v>
      </c>
      <c r="D489" s="1">
        <f t="shared" si="14"/>
        <v>0.11489254951477101</v>
      </c>
      <c r="E489" s="1">
        <f t="shared" si="15"/>
        <v>1.320029793400411E-2</v>
      </c>
    </row>
    <row r="490" spans="1:5" x14ac:dyDescent="0.35">
      <c r="A490" t="s">
        <v>490</v>
      </c>
      <c r="B490" s="1">
        <v>4.2699999999999996</v>
      </c>
      <c r="C490" s="1">
        <v>4.4882183074951172</v>
      </c>
      <c r="D490" s="1">
        <f t="shared" si="14"/>
        <v>0.21821830749511761</v>
      </c>
      <c r="E490" s="1">
        <f t="shared" si="15"/>
        <v>4.7619229726033704E-2</v>
      </c>
    </row>
    <row r="491" spans="1:5" x14ac:dyDescent="0.35">
      <c r="A491" t="s">
        <v>491</v>
      </c>
      <c r="B491" s="1">
        <v>2.52</v>
      </c>
      <c r="C491" s="1">
        <v>2.9858145713806148</v>
      </c>
      <c r="D491" s="1">
        <f t="shared" si="14"/>
        <v>0.46581457138061477</v>
      </c>
      <c r="E491" s="1">
        <f t="shared" si="15"/>
        <v>0.21698321491050584</v>
      </c>
    </row>
    <row r="492" spans="1:5" x14ac:dyDescent="0.35">
      <c r="A492" t="s">
        <v>492</v>
      </c>
      <c r="B492" s="1">
        <v>1.21</v>
      </c>
      <c r="C492" s="1">
        <v>1.21272337436676</v>
      </c>
      <c r="D492" s="1">
        <f t="shared" si="14"/>
        <v>2.7233743667600674E-3</v>
      </c>
      <c r="E492" s="1">
        <f t="shared" si="15"/>
        <v>7.4167679415257978E-6</v>
      </c>
    </row>
    <row r="493" spans="1:5" x14ac:dyDescent="0.35">
      <c r="A493" t="s">
        <v>493</v>
      </c>
      <c r="B493" s="1">
        <v>3.81</v>
      </c>
      <c r="C493" s="1">
        <v>4.376734733581543</v>
      </c>
      <c r="D493" s="1">
        <f t="shared" si="14"/>
        <v>0.56673473358154292</v>
      </c>
      <c r="E493" s="1">
        <f t="shared" si="15"/>
        <v>0.32118825824774244</v>
      </c>
    </row>
    <row r="494" spans="1:5" x14ac:dyDescent="0.35">
      <c r="A494" t="s">
        <v>494</v>
      </c>
      <c r="B494" s="1">
        <v>1.78</v>
      </c>
      <c r="C494" s="1">
        <v>1.4293394088745119</v>
      </c>
      <c r="D494" s="1">
        <f t="shared" si="14"/>
        <v>0.35066059112548809</v>
      </c>
      <c r="E494" s="1">
        <f t="shared" si="15"/>
        <v>0.12296285016847673</v>
      </c>
    </row>
    <row r="495" spans="1:5" x14ac:dyDescent="0.35">
      <c r="A495" t="s">
        <v>495</v>
      </c>
      <c r="B495" s="1">
        <v>3.04</v>
      </c>
      <c r="C495" s="1">
        <v>3.2427229881286621</v>
      </c>
      <c r="D495" s="1">
        <f t="shared" si="14"/>
        <v>0.20272298812866207</v>
      </c>
      <c r="E495" s="1">
        <f t="shared" si="15"/>
        <v>4.1096609915813667E-2</v>
      </c>
    </row>
    <row r="496" spans="1:5" x14ac:dyDescent="0.35">
      <c r="A496" t="s">
        <v>496</v>
      </c>
      <c r="B496" s="1">
        <v>1.44</v>
      </c>
      <c r="C496" s="1">
        <v>1.482924103736877</v>
      </c>
      <c r="D496" s="1">
        <f t="shared" si="14"/>
        <v>4.2924103736877051E-2</v>
      </c>
      <c r="E496" s="1">
        <f t="shared" si="15"/>
        <v>1.8424786816141825E-3</v>
      </c>
    </row>
    <row r="497" spans="1:5" x14ac:dyDescent="0.35">
      <c r="A497" t="s">
        <v>497</v>
      </c>
      <c r="B497" s="1">
        <v>3.7</v>
      </c>
      <c r="C497" s="1">
        <v>3.7767355442047119</v>
      </c>
      <c r="D497" s="1">
        <f t="shared" si="14"/>
        <v>7.6735544204711736E-2</v>
      </c>
      <c r="E497" s="1">
        <f t="shared" si="15"/>
        <v>5.8883437443932691E-3</v>
      </c>
    </row>
    <row r="498" spans="1:5" x14ac:dyDescent="0.35">
      <c r="A498" t="s">
        <v>498</v>
      </c>
      <c r="B498" s="1">
        <v>1.75</v>
      </c>
      <c r="C498" s="1">
        <v>1.6247450113296511</v>
      </c>
      <c r="D498" s="1">
        <f t="shared" si="14"/>
        <v>0.1252549886703489</v>
      </c>
      <c r="E498" s="1">
        <f t="shared" si="15"/>
        <v>1.5688812186809231E-2</v>
      </c>
    </row>
    <row r="499" spans="1:5" x14ac:dyDescent="0.35">
      <c r="A499" t="s">
        <v>499</v>
      </c>
      <c r="B499" s="1">
        <v>4.08</v>
      </c>
      <c r="C499" s="1">
        <v>4.4500551223754883</v>
      </c>
      <c r="D499" s="1">
        <f t="shared" si="14"/>
        <v>0.37005512237548821</v>
      </c>
      <c r="E499" s="1">
        <f t="shared" si="15"/>
        <v>0.13694079359633757</v>
      </c>
    </row>
    <row r="500" spans="1:5" x14ac:dyDescent="0.35">
      <c r="A500" t="s">
        <v>500</v>
      </c>
      <c r="B500" s="1">
        <v>3.6</v>
      </c>
      <c r="C500" s="1">
        <v>3.8515889644622798</v>
      </c>
      <c r="D500" s="1">
        <f t="shared" si="14"/>
        <v>0.25158896446227974</v>
      </c>
      <c r="E500" s="1">
        <f t="shared" si="15"/>
        <v>6.3297007039202255E-2</v>
      </c>
    </row>
    <row r="501" spans="1:5" x14ac:dyDescent="0.35">
      <c r="A501" t="s">
        <v>501</v>
      </c>
      <c r="B501" s="1">
        <v>2.06</v>
      </c>
      <c r="C501" s="1">
        <v>2.3710229396820068</v>
      </c>
      <c r="D501" s="1">
        <f t="shared" si="14"/>
        <v>0.31102293968200678</v>
      </c>
      <c r="E501" s="1">
        <f t="shared" si="15"/>
        <v>9.6735269008437236E-2</v>
      </c>
    </row>
    <row r="502" spans="1:5" x14ac:dyDescent="0.35">
      <c r="A502" t="s">
        <v>502</v>
      </c>
      <c r="B502" s="1">
        <v>4.47</v>
      </c>
      <c r="C502" s="1">
        <v>4.4624738693237296</v>
      </c>
      <c r="D502" s="1">
        <f t="shared" si="14"/>
        <v>7.5261306762701707E-3</v>
      </c>
      <c r="E502" s="1">
        <f t="shared" si="15"/>
        <v>5.6642642956294899E-5</v>
      </c>
    </row>
    <row r="503" spans="1:5" x14ac:dyDescent="0.35">
      <c r="A503" t="s">
        <v>503</v>
      </c>
      <c r="B503" s="1">
        <v>2.13</v>
      </c>
      <c r="C503" s="1">
        <v>2.771537065505981</v>
      </c>
      <c r="D503" s="1">
        <f t="shared" si="14"/>
        <v>0.64153706550598111</v>
      </c>
      <c r="E503" s="1">
        <f t="shared" si="15"/>
        <v>0.41156980641802549</v>
      </c>
    </row>
    <row r="504" spans="1:5" x14ac:dyDescent="0.35">
      <c r="A504" t="s">
        <v>504</v>
      </c>
      <c r="B504" s="1">
        <v>4.0999999999999996</v>
      </c>
      <c r="C504" s="1">
        <v>4.252230167388916</v>
      </c>
      <c r="D504" s="1">
        <f t="shared" si="14"/>
        <v>0.15223016738891637</v>
      </c>
      <c r="E504" s="1">
        <f t="shared" si="15"/>
        <v>2.3174023863257499E-2</v>
      </c>
    </row>
    <row r="505" spans="1:5" x14ac:dyDescent="0.35">
      <c r="A505" t="s">
        <v>505</v>
      </c>
      <c r="B505" s="1">
        <v>3.82</v>
      </c>
      <c r="C505" s="1">
        <v>3.889710664749146</v>
      </c>
      <c r="D505" s="1">
        <f t="shared" si="14"/>
        <v>6.9710664749146112E-2</v>
      </c>
      <c r="E505" s="1">
        <f t="shared" si="15"/>
        <v>4.8595767797678423E-3</v>
      </c>
    </row>
    <row r="506" spans="1:5" x14ac:dyDescent="0.35">
      <c r="A506" t="s">
        <v>506</v>
      </c>
      <c r="B506" s="1">
        <v>2.65</v>
      </c>
      <c r="C506" s="1">
        <v>2.966324090957642</v>
      </c>
      <c r="D506" s="1">
        <f t="shared" si="14"/>
        <v>0.31632409095764213</v>
      </c>
      <c r="E506" s="1">
        <f t="shared" si="15"/>
        <v>0.10006093052017866</v>
      </c>
    </row>
    <row r="507" spans="1:5" x14ac:dyDescent="0.35">
      <c r="A507" t="s">
        <v>507</v>
      </c>
      <c r="B507" s="1">
        <v>4.6900000000000004</v>
      </c>
      <c r="C507" s="1">
        <v>4.7483115196228027</v>
      </c>
      <c r="D507" s="1">
        <f t="shared" si="14"/>
        <v>5.8311519622802344E-2</v>
      </c>
      <c r="E507" s="1">
        <f t="shared" si="15"/>
        <v>3.4002333207204627E-3</v>
      </c>
    </row>
    <row r="508" spans="1:5" x14ac:dyDescent="0.35">
      <c r="A508" t="s">
        <v>508</v>
      </c>
      <c r="B508" s="1">
        <v>3.98</v>
      </c>
      <c r="C508" s="1">
        <v>3.6722431182861328</v>
      </c>
      <c r="D508" s="1">
        <f t="shared" si="14"/>
        <v>0.30775688171386717</v>
      </c>
      <c r="E508" s="1">
        <f t="shared" si="15"/>
        <v>9.4714298242243228E-2</v>
      </c>
    </row>
    <row r="509" spans="1:5" x14ac:dyDescent="0.35">
      <c r="A509" t="s">
        <v>509</v>
      </c>
      <c r="B509" s="1">
        <v>2.2799999999999998</v>
      </c>
      <c r="C509" s="1">
        <v>2.0409433841705318</v>
      </c>
      <c r="D509" s="1">
        <f t="shared" si="14"/>
        <v>0.23905661582946802</v>
      </c>
      <c r="E509" s="1">
        <f t="shared" si="15"/>
        <v>5.714806557183786E-2</v>
      </c>
    </row>
    <row r="510" spans="1:5" x14ac:dyDescent="0.35">
      <c r="A510" t="s">
        <v>510</v>
      </c>
      <c r="B510" s="1">
        <v>3.94</v>
      </c>
      <c r="C510" s="1">
        <v>3.9891788959503169</v>
      </c>
      <c r="D510" s="1">
        <f t="shared" si="14"/>
        <v>4.9178895950316992E-2</v>
      </c>
      <c r="E510" s="1">
        <f t="shared" si="15"/>
        <v>2.4185638068921051E-3</v>
      </c>
    </row>
    <row r="511" spans="1:5" x14ac:dyDescent="0.35">
      <c r="A511" t="s">
        <v>511</v>
      </c>
      <c r="B511" s="1">
        <v>2.71</v>
      </c>
      <c r="C511" s="1">
        <v>2.8729512691497798</v>
      </c>
      <c r="D511" s="1">
        <f t="shared" si="14"/>
        <v>0.16295126914977986</v>
      </c>
      <c r="E511" s="1">
        <f t="shared" si="15"/>
        <v>2.6553116117523999E-2</v>
      </c>
    </row>
    <row r="512" spans="1:5" x14ac:dyDescent="0.35">
      <c r="A512" t="s">
        <v>512</v>
      </c>
      <c r="B512" s="1">
        <v>4.1500000000000004</v>
      </c>
      <c r="C512" s="1">
        <v>3.9965982437133789</v>
      </c>
      <c r="D512" s="1">
        <f t="shared" si="14"/>
        <v>0.15340175628662145</v>
      </c>
      <c r="E512" s="1">
        <f t="shared" si="15"/>
        <v>2.3532098831820003E-2</v>
      </c>
    </row>
    <row r="513" spans="1:5" x14ac:dyDescent="0.35">
      <c r="A513" t="s">
        <v>513</v>
      </c>
      <c r="B513" s="1">
        <v>1.96</v>
      </c>
      <c r="C513" s="1">
        <v>2.2779569625854492</v>
      </c>
      <c r="D513" s="1">
        <f t="shared" si="14"/>
        <v>0.31795696258544925</v>
      </c>
      <c r="E513" s="1">
        <f t="shared" si="15"/>
        <v>0.10109663005656477</v>
      </c>
    </row>
    <row r="514" spans="1:5" x14ac:dyDescent="0.35">
      <c r="A514" t="s">
        <v>514</v>
      </c>
      <c r="B514" s="1">
        <v>4.08</v>
      </c>
      <c r="C514" s="1">
        <v>4.1890373229980469</v>
      </c>
      <c r="D514" s="1">
        <f t="shared" si="14"/>
        <v>0.1090373229980468</v>
      </c>
      <c r="E514" s="1">
        <f t="shared" si="15"/>
        <v>1.1889137806580387E-2</v>
      </c>
    </row>
    <row r="515" spans="1:5" x14ac:dyDescent="0.35">
      <c r="A515" t="s">
        <v>515</v>
      </c>
      <c r="B515" s="1">
        <v>3.4</v>
      </c>
      <c r="C515" s="1">
        <v>3.5872645378112789</v>
      </c>
      <c r="D515" s="1">
        <f t="shared" ref="D515:D578" si="16">ABS(B515-C515)</f>
        <v>0.18726453781127894</v>
      </c>
      <c r="E515" s="1">
        <f t="shared" ref="E515:E578" si="17">(B515-C515)^2</f>
        <v>3.5068007121671921E-2</v>
      </c>
    </row>
    <row r="516" spans="1:5" x14ac:dyDescent="0.35">
      <c r="A516" t="s">
        <v>516</v>
      </c>
      <c r="B516" s="1">
        <v>4.33</v>
      </c>
      <c r="C516" s="1">
        <v>4.2313876152038574</v>
      </c>
      <c r="D516" s="1">
        <f t="shared" si="16"/>
        <v>9.8612384796142649E-2</v>
      </c>
      <c r="E516" s="1">
        <f t="shared" si="17"/>
        <v>9.7244024351825064E-3</v>
      </c>
    </row>
    <row r="517" spans="1:5" x14ac:dyDescent="0.35">
      <c r="A517" t="s">
        <v>517</v>
      </c>
      <c r="B517" s="1">
        <v>4.09</v>
      </c>
      <c r="C517" s="1">
        <v>3.5287942886352539</v>
      </c>
      <c r="D517" s="1">
        <f t="shared" si="16"/>
        <v>0.56120571136474595</v>
      </c>
      <c r="E517" s="1">
        <f t="shared" si="17"/>
        <v>0.31495185046841057</v>
      </c>
    </row>
    <row r="518" spans="1:5" x14ac:dyDescent="0.35">
      <c r="A518" t="s">
        <v>518</v>
      </c>
      <c r="B518" s="1">
        <v>4.3099999999999996</v>
      </c>
      <c r="C518" s="1">
        <v>4.4365386962890616</v>
      </c>
      <c r="D518" s="1">
        <f t="shared" si="16"/>
        <v>0.126538696289062</v>
      </c>
      <c r="E518" s="1">
        <f t="shared" si="17"/>
        <v>1.6012041658535474E-2</v>
      </c>
    </row>
    <row r="519" spans="1:5" x14ac:dyDescent="0.35">
      <c r="A519" t="s">
        <v>519</v>
      </c>
      <c r="B519" s="1">
        <v>4.09</v>
      </c>
      <c r="C519" s="1">
        <v>3.8993275165557861</v>
      </c>
      <c r="D519" s="1">
        <f t="shared" si="16"/>
        <v>0.19067248344421373</v>
      </c>
      <c r="E519" s="1">
        <f t="shared" si="17"/>
        <v>3.6355995942783957E-2</v>
      </c>
    </row>
    <row r="520" spans="1:5" x14ac:dyDescent="0.35">
      <c r="A520" t="s">
        <v>520</v>
      </c>
      <c r="B520" s="1">
        <v>2.64</v>
      </c>
      <c r="C520" s="1">
        <v>2.4688060283660889</v>
      </c>
      <c r="D520" s="1">
        <f t="shared" si="16"/>
        <v>0.17119397163391126</v>
      </c>
      <c r="E520" s="1">
        <f t="shared" si="17"/>
        <v>2.9307375923792411E-2</v>
      </c>
    </row>
    <row r="521" spans="1:5" x14ac:dyDescent="0.35">
      <c r="A521" t="s">
        <v>521</v>
      </c>
      <c r="B521" s="1">
        <v>3.52</v>
      </c>
      <c r="C521" s="1">
        <v>3.846590518951416</v>
      </c>
      <c r="D521" s="1">
        <f t="shared" si="16"/>
        <v>0.326590518951416</v>
      </c>
      <c r="E521" s="1">
        <f t="shared" si="17"/>
        <v>0.10666136706895521</v>
      </c>
    </row>
    <row r="522" spans="1:5" x14ac:dyDescent="0.35">
      <c r="A522" t="s">
        <v>522</v>
      </c>
      <c r="B522" s="1">
        <v>2.71</v>
      </c>
      <c r="C522" s="1">
        <v>3.2988729476928711</v>
      </c>
      <c r="D522" s="1">
        <f t="shared" si="16"/>
        <v>0.58887294769287113</v>
      </c>
      <c r="E522" s="1">
        <f t="shared" si="17"/>
        <v>0.34677134852449093</v>
      </c>
    </row>
    <row r="523" spans="1:5" x14ac:dyDescent="0.35">
      <c r="A523" t="s">
        <v>523</v>
      </c>
      <c r="B523" s="1">
        <v>3.84</v>
      </c>
      <c r="C523" s="1">
        <v>4.1283302307128906</v>
      </c>
      <c r="D523" s="1">
        <f t="shared" si="16"/>
        <v>0.28833023071289077</v>
      </c>
      <c r="E523" s="1">
        <f t="shared" si="17"/>
        <v>8.3134321942948813E-2</v>
      </c>
    </row>
    <row r="524" spans="1:5" x14ac:dyDescent="0.35">
      <c r="A524" t="s">
        <v>524</v>
      </c>
      <c r="B524" s="1">
        <v>1.66</v>
      </c>
      <c r="C524" s="1">
        <v>2.0471892356872559</v>
      </c>
      <c r="D524" s="1">
        <f t="shared" si="16"/>
        <v>0.38718923568725594</v>
      </c>
      <c r="E524" s="1">
        <f t="shared" si="17"/>
        <v>0.14991550423208141</v>
      </c>
    </row>
    <row r="525" spans="1:5" x14ac:dyDescent="0.35">
      <c r="A525" t="s">
        <v>525</v>
      </c>
      <c r="B525" s="1">
        <v>3.96</v>
      </c>
      <c r="C525" s="1">
        <v>4.2729916572570801</v>
      </c>
      <c r="D525" s="1">
        <f t="shared" si="16"/>
        <v>0.31299165725708011</v>
      </c>
      <c r="E525" s="1">
        <f t="shared" si="17"/>
        <v>9.7963777512533518E-2</v>
      </c>
    </row>
    <row r="526" spans="1:5" x14ac:dyDescent="0.35">
      <c r="A526" t="s">
        <v>526</v>
      </c>
      <c r="B526" s="1">
        <v>2.72</v>
      </c>
      <c r="C526" s="1">
        <v>2.4876821041107182</v>
      </c>
      <c r="D526" s="1">
        <f t="shared" si="16"/>
        <v>0.23231789588928198</v>
      </c>
      <c r="E526" s="1">
        <f t="shared" si="17"/>
        <v>5.3971604750423258E-2</v>
      </c>
    </row>
    <row r="527" spans="1:5" x14ac:dyDescent="0.35">
      <c r="A527" t="s">
        <v>527</v>
      </c>
      <c r="B527" s="1">
        <v>1.39</v>
      </c>
      <c r="C527" s="1">
        <v>1.2450529336929319</v>
      </c>
      <c r="D527" s="1">
        <f t="shared" si="16"/>
        <v>0.144947066307068</v>
      </c>
      <c r="E527" s="1">
        <f t="shared" si="17"/>
        <v>2.1009652031025568E-2</v>
      </c>
    </row>
    <row r="528" spans="1:5" x14ac:dyDescent="0.35">
      <c r="A528" t="s">
        <v>528</v>
      </c>
      <c r="B528" s="1">
        <v>4.05</v>
      </c>
      <c r="C528" s="1">
        <v>4.0534844398498544</v>
      </c>
      <c r="D528" s="1">
        <f t="shared" si="16"/>
        <v>3.4844398498545814E-3</v>
      </c>
      <c r="E528" s="1">
        <f t="shared" si="17"/>
        <v>1.2141321067254619E-5</v>
      </c>
    </row>
    <row r="529" spans="1:5" x14ac:dyDescent="0.35">
      <c r="A529" t="s">
        <v>529</v>
      </c>
      <c r="B529" s="1">
        <v>1.85</v>
      </c>
      <c r="C529" s="1">
        <v>1.5596576929092409</v>
      </c>
      <c r="D529" s="1">
        <f t="shared" si="16"/>
        <v>0.29034230709075914</v>
      </c>
      <c r="E529" s="1">
        <f t="shared" si="17"/>
        <v>8.4298655286784693E-2</v>
      </c>
    </row>
    <row r="530" spans="1:5" x14ac:dyDescent="0.35">
      <c r="A530" t="s">
        <v>530</v>
      </c>
      <c r="B530" s="1">
        <v>3.61</v>
      </c>
      <c r="C530" s="1">
        <v>3.8590736389160161</v>
      </c>
      <c r="D530" s="1">
        <f t="shared" si="16"/>
        <v>0.24907363891601619</v>
      </c>
      <c r="E530" s="1">
        <f t="shared" si="17"/>
        <v>6.2037677602866013E-2</v>
      </c>
    </row>
    <row r="531" spans="1:5" x14ac:dyDescent="0.35">
      <c r="A531" t="s">
        <v>531</v>
      </c>
      <c r="B531" s="1">
        <v>1.98</v>
      </c>
      <c r="C531" s="1">
        <v>1.6641412973403931</v>
      </c>
      <c r="D531" s="1">
        <f t="shared" si="16"/>
        <v>0.31585870265960692</v>
      </c>
      <c r="E531" s="1">
        <f t="shared" si="17"/>
        <v>9.976672004580997E-2</v>
      </c>
    </row>
    <row r="532" spans="1:5" x14ac:dyDescent="0.35">
      <c r="A532" t="s">
        <v>532</v>
      </c>
      <c r="B532" s="1">
        <v>3.73</v>
      </c>
      <c r="C532" s="1">
        <v>3.744085311889648</v>
      </c>
      <c r="D532" s="1">
        <f t="shared" si="16"/>
        <v>1.4085311889648011E-2</v>
      </c>
      <c r="E532" s="1">
        <f t="shared" si="17"/>
        <v>1.9839601102865964E-4</v>
      </c>
    </row>
    <row r="533" spans="1:5" x14ac:dyDescent="0.35">
      <c r="A533" t="s">
        <v>533</v>
      </c>
      <c r="B533" s="1">
        <v>2.25</v>
      </c>
      <c r="C533" s="1">
        <v>2.3447446823120122</v>
      </c>
      <c r="D533" s="1">
        <f t="shared" si="16"/>
        <v>9.4744682312012163E-2</v>
      </c>
      <c r="E533" s="1">
        <f t="shared" si="17"/>
        <v>8.9765548264041112E-3</v>
      </c>
    </row>
    <row r="534" spans="1:5" x14ac:dyDescent="0.35">
      <c r="A534" t="s">
        <v>534</v>
      </c>
      <c r="B534" s="1">
        <v>3.88</v>
      </c>
      <c r="C534" s="1">
        <v>4.3161706924438477</v>
      </c>
      <c r="D534" s="1">
        <f t="shared" si="16"/>
        <v>0.43617069244384776</v>
      </c>
      <c r="E534" s="1">
        <f t="shared" si="17"/>
        <v>0.19024487294694564</v>
      </c>
    </row>
    <row r="535" spans="1:5" x14ac:dyDescent="0.35">
      <c r="A535" t="s">
        <v>535</v>
      </c>
      <c r="B535" s="1">
        <v>2.82</v>
      </c>
      <c r="C535" s="1">
        <v>2.793159008026123</v>
      </c>
      <c r="D535" s="1">
        <f t="shared" si="16"/>
        <v>2.6840991973876793E-2</v>
      </c>
      <c r="E535" s="1">
        <f t="shared" si="17"/>
        <v>7.2043885014171842E-4</v>
      </c>
    </row>
    <row r="536" spans="1:5" x14ac:dyDescent="0.35">
      <c r="A536" t="s">
        <v>536</v>
      </c>
      <c r="B536" s="1">
        <v>2.63</v>
      </c>
      <c r="C536" s="1">
        <v>2.8048281669616699</v>
      </c>
      <c r="D536" s="1">
        <f t="shared" si="16"/>
        <v>0.17482816696167003</v>
      </c>
      <c r="E536" s="1">
        <f t="shared" si="17"/>
        <v>3.0564887963177571E-2</v>
      </c>
    </row>
    <row r="537" spans="1:5" x14ac:dyDescent="0.35">
      <c r="A537" t="s">
        <v>537</v>
      </c>
      <c r="B537" s="1">
        <v>1.68</v>
      </c>
      <c r="C537" s="1">
        <v>1.6868464946746831</v>
      </c>
      <c r="D537" s="1">
        <f t="shared" si="16"/>
        <v>6.8464946746831234E-3</v>
      </c>
      <c r="E537" s="1">
        <f t="shared" si="17"/>
        <v>4.6874489330464371E-5</v>
      </c>
    </row>
    <row r="538" spans="1:5" x14ac:dyDescent="0.35">
      <c r="A538" t="s">
        <v>538</v>
      </c>
      <c r="B538" s="1">
        <v>4</v>
      </c>
      <c r="C538" s="1">
        <v>4.0855197906494141</v>
      </c>
      <c r="D538" s="1">
        <f t="shared" si="16"/>
        <v>8.5519790649414063E-2</v>
      </c>
      <c r="E538" s="1">
        <f t="shared" si="17"/>
        <v>7.3136345927196089E-3</v>
      </c>
    </row>
    <row r="539" spans="1:5" x14ac:dyDescent="0.35">
      <c r="A539" t="s">
        <v>539</v>
      </c>
      <c r="B539" s="1">
        <v>2.06</v>
      </c>
      <c r="C539" s="1">
        <v>2.6024405956268311</v>
      </c>
      <c r="D539" s="1">
        <f t="shared" si="16"/>
        <v>0.542440595626831</v>
      </c>
      <c r="E539" s="1">
        <f t="shared" si="17"/>
        <v>0.29424179978399118</v>
      </c>
    </row>
    <row r="540" spans="1:5" x14ac:dyDescent="0.35">
      <c r="A540" t="s">
        <v>540</v>
      </c>
      <c r="B540" s="1">
        <v>1.39</v>
      </c>
      <c r="C540" s="1">
        <v>1.410993099212646</v>
      </c>
      <c r="D540" s="1">
        <f t="shared" si="16"/>
        <v>2.0993099212646138E-2</v>
      </c>
      <c r="E540" s="1">
        <f t="shared" si="17"/>
        <v>4.407102145520039E-4</v>
      </c>
    </row>
    <row r="541" spans="1:5" x14ac:dyDescent="0.35">
      <c r="A541" t="s">
        <v>541</v>
      </c>
      <c r="B541" s="1">
        <v>4.3</v>
      </c>
      <c r="C541" s="1">
        <v>4.3102121353149414</v>
      </c>
      <c r="D541" s="1">
        <f t="shared" si="16"/>
        <v>1.0212135314941584E-2</v>
      </c>
      <c r="E541" s="1">
        <f t="shared" si="17"/>
        <v>1.0428770769067704E-4</v>
      </c>
    </row>
    <row r="542" spans="1:5" x14ac:dyDescent="0.35">
      <c r="A542" t="s">
        <v>542</v>
      </c>
      <c r="B542" s="1">
        <v>3.14</v>
      </c>
      <c r="C542" s="1">
        <v>3.4348325729370122</v>
      </c>
      <c r="D542" s="1">
        <f t="shared" si="16"/>
        <v>0.29483257293701204</v>
      </c>
      <c r="E542" s="1">
        <f t="shared" si="17"/>
        <v>8.6926246064658527E-2</v>
      </c>
    </row>
    <row r="543" spans="1:5" x14ac:dyDescent="0.35">
      <c r="A543" t="s">
        <v>543</v>
      </c>
      <c r="B543" s="1">
        <v>1.23</v>
      </c>
      <c r="C543" s="1">
        <v>1.4916311502456669</v>
      </c>
      <c r="D543" s="1">
        <f t="shared" si="16"/>
        <v>0.26163115024566697</v>
      </c>
      <c r="E543" s="1">
        <f t="shared" si="17"/>
        <v>6.8450858778870763E-2</v>
      </c>
    </row>
    <row r="544" spans="1:5" x14ac:dyDescent="0.35">
      <c r="A544" t="s">
        <v>544</v>
      </c>
      <c r="B544" s="1">
        <v>4.2</v>
      </c>
      <c r="C544" s="1">
        <v>4.2826547622680664</v>
      </c>
      <c r="D544" s="1">
        <f t="shared" si="16"/>
        <v>8.2654762268066229E-2</v>
      </c>
      <c r="E544" s="1">
        <f t="shared" si="17"/>
        <v>6.8318097255905446E-3</v>
      </c>
    </row>
    <row r="545" spans="1:5" x14ac:dyDescent="0.35">
      <c r="A545" t="s">
        <v>545</v>
      </c>
      <c r="B545" s="1">
        <v>3.1</v>
      </c>
      <c r="C545" s="1">
        <v>2.8214998245239258</v>
      </c>
      <c r="D545" s="1">
        <f t="shared" si="16"/>
        <v>0.27850017547607431</v>
      </c>
      <c r="E545" s="1">
        <f t="shared" si="17"/>
        <v>7.7562347740204179E-2</v>
      </c>
    </row>
    <row r="546" spans="1:5" x14ac:dyDescent="0.35">
      <c r="A546" t="s">
        <v>546</v>
      </c>
      <c r="B546" s="1">
        <v>1.2</v>
      </c>
      <c r="C546" s="1">
        <v>1.2253847122192381</v>
      </c>
      <c r="D546" s="1">
        <f t="shared" si="16"/>
        <v>2.5384712219238104E-2</v>
      </c>
      <c r="E546" s="1">
        <f t="shared" si="17"/>
        <v>6.4438361445353634E-4</v>
      </c>
    </row>
    <row r="547" spans="1:5" x14ac:dyDescent="0.35">
      <c r="A547" t="s">
        <v>547</v>
      </c>
      <c r="B547" s="1">
        <v>4.26</v>
      </c>
      <c r="C547" s="1">
        <v>4.4180259704589844</v>
      </c>
      <c r="D547" s="1">
        <f t="shared" si="16"/>
        <v>0.15802597045898459</v>
      </c>
      <c r="E547" s="1">
        <f t="shared" si="17"/>
        <v>2.4972207339503869E-2</v>
      </c>
    </row>
    <row r="548" spans="1:5" x14ac:dyDescent="0.35">
      <c r="A548" t="s">
        <v>548</v>
      </c>
      <c r="B548" s="1">
        <v>1.4</v>
      </c>
      <c r="C548" s="1">
        <v>1.437777161598206</v>
      </c>
      <c r="D548" s="1">
        <f t="shared" si="16"/>
        <v>3.7777161598206099E-2</v>
      </c>
      <c r="E548" s="1">
        <f t="shared" si="17"/>
        <v>1.4271139384169776E-3</v>
      </c>
    </row>
    <row r="549" spans="1:5" x14ac:dyDescent="0.35">
      <c r="A549" t="s">
        <v>549</v>
      </c>
      <c r="B549" s="1">
        <v>1.1499999999999999</v>
      </c>
      <c r="C549" s="1">
        <v>1.2489855289459231</v>
      </c>
      <c r="D549" s="1">
        <f t="shared" si="16"/>
        <v>9.8985528945923162E-2</v>
      </c>
      <c r="E549" s="1">
        <f t="shared" si="17"/>
        <v>9.7981349407041916E-3</v>
      </c>
    </row>
    <row r="550" spans="1:5" x14ac:dyDescent="0.35">
      <c r="A550" t="s">
        <v>550</v>
      </c>
      <c r="B550" s="1">
        <v>3.62</v>
      </c>
      <c r="C550" s="1">
        <v>3.7581198215484619</v>
      </c>
      <c r="D550" s="1">
        <f t="shared" si="16"/>
        <v>0.13811982154846181</v>
      </c>
      <c r="E550" s="1">
        <f t="shared" si="17"/>
        <v>1.9077085104578936E-2</v>
      </c>
    </row>
    <row r="551" spans="1:5" x14ac:dyDescent="0.35">
      <c r="A551" t="s">
        <v>551</v>
      </c>
      <c r="B551" s="1">
        <v>4.26</v>
      </c>
      <c r="C551" s="1">
        <v>3.9667046070098881</v>
      </c>
      <c r="D551" s="1">
        <f t="shared" si="16"/>
        <v>0.29329539299011165</v>
      </c>
      <c r="E551" s="1">
        <f t="shared" si="17"/>
        <v>8.6022187549224027E-2</v>
      </c>
    </row>
    <row r="552" spans="1:5" x14ac:dyDescent="0.35">
      <c r="A552" t="s">
        <v>552</v>
      </c>
      <c r="B552" s="1">
        <v>1.35</v>
      </c>
      <c r="C552" s="1">
        <v>2.1625270843505859</v>
      </c>
      <c r="D552" s="1">
        <f t="shared" si="16"/>
        <v>0.81252708435058585</v>
      </c>
      <c r="E552" s="1">
        <f t="shared" si="17"/>
        <v>0.66020026280326405</v>
      </c>
    </row>
    <row r="553" spans="1:5" x14ac:dyDescent="0.35">
      <c r="A553" t="s">
        <v>553</v>
      </c>
      <c r="B553" s="1">
        <v>4.12</v>
      </c>
      <c r="C553" s="1">
        <v>4.3178186416625977</v>
      </c>
      <c r="D553" s="1">
        <f t="shared" si="16"/>
        <v>0.19781864166259755</v>
      </c>
      <c r="E553" s="1">
        <f t="shared" si="17"/>
        <v>3.9132214989235178E-2</v>
      </c>
    </row>
    <row r="554" spans="1:5" x14ac:dyDescent="0.35">
      <c r="A554" t="s">
        <v>554</v>
      </c>
      <c r="B554" s="1">
        <v>3.62</v>
      </c>
      <c r="C554" s="1">
        <v>3.2740054130554199</v>
      </c>
      <c r="D554" s="1">
        <f t="shared" si="16"/>
        <v>0.34599458694458018</v>
      </c>
      <c r="E554" s="1">
        <f t="shared" si="17"/>
        <v>0.11971225419495066</v>
      </c>
    </row>
    <row r="555" spans="1:5" x14ac:dyDescent="0.35">
      <c r="A555" t="s">
        <v>555</v>
      </c>
      <c r="B555" s="1">
        <v>1.41</v>
      </c>
      <c r="C555" s="1">
        <v>1.693846464157104</v>
      </c>
      <c r="D555" s="1">
        <f t="shared" si="16"/>
        <v>0.28384646415710413</v>
      </c>
      <c r="E555" s="1">
        <f t="shared" si="17"/>
        <v>8.0568815214490205E-2</v>
      </c>
    </row>
    <row r="556" spans="1:5" x14ac:dyDescent="0.35">
      <c r="A556" t="s">
        <v>556</v>
      </c>
      <c r="B556" s="1">
        <v>4.29</v>
      </c>
      <c r="C556" s="1">
        <v>4.1649994850158691</v>
      </c>
      <c r="D556" s="1">
        <f t="shared" si="16"/>
        <v>0.12500051498413089</v>
      </c>
      <c r="E556" s="1">
        <f t="shared" si="17"/>
        <v>1.5625128746297932E-2</v>
      </c>
    </row>
    <row r="557" spans="1:5" x14ac:dyDescent="0.35">
      <c r="A557" t="s">
        <v>557</v>
      </c>
      <c r="B557" s="1">
        <v>3.44</v>
      </c>
      <c r="C557" s="1">
        <v>3.3972563743591309</v>
      </c>
      <c r="D557" s="1">
        <f t="shared" si="16"/>
        <v>4.2743625640869087E-2</v>
      </c>
      <c r="E557" s="1">
        <f t="shared" si="17"/>
        <v>1.8270175329267613E-3</v>
      </c>
    </row>
    <row r="558" spans="1:5" x14ac:dyDescent="0.35">
      <c r="A558" t="s">
        <v>558</v>
      </c>
      <c r="B558" s="1">
        <v>1.61</v>
      </c>
      <c r="C558" s="1">
        <v>2.0864131450653081</v>
      </c>
      <c r="D558" s="1">
        <f t="shared" si="16"/>
        <v>0.47641314506530796</v>
      </c>
      <c r="E558" s="1">
        <f t="shared" si="17"/>
        <v>0.22696948479101817</v>
      </c>
    </row>
    <row r="559" spans="1:5" x14ac:dyDescent="0.35">
      <c r="A559" t="s">
        <v>559</v>
      </c>
      <c r="B559" s="1">
        <v>3.88</v>
      </c>
      <c r="C559" s="1">
        <v>3.9134078025817871</v>
      </c>
      <c r="D559" s="1">
        <f t="shared" si="16"/>
        <v>3.3407802581787216E-2</v>
      </c>
      <c r="E559" s="1">
        <f t="shared" si="17"/>
        <v>1.1160812733436686E-3</v>
      </c>
    </row>
    <row r="560" spans="1:5" x14ac:dyDescent="0.35">
      <c r="A560" t="s">
        <v>560</v>
      </c>
      <c r="B560" s="1">
        <v>3.32</v>
      </c>
      <c r="C560" s="1">
        <v>3.0591385364532471</v>
      </c>
      <c r="D560" s="1">
        <f t="shared" si="16"/>
        <v>0.26086146354675277</v>
      </c>
      <c r="E560" s="1">
        <f t="shared" si="17"/>
        <v>6.8048703163753818E-2</v>
      </c>
    </row>
    <row r="561" spans="1:5" x14ac:dyDescent="0.35">
      <c r="A561" t="s">
        <v>561</v>
      </c>
      <c r="B561" s="1">
        <v>1.4</v>
      </c>
      <c r="C561" s="1">
        <v>1.248516440391541</v>
      </c>
      <c r="D561" s="1">
        <f t="shared" si="16"/>
        <v>0.15148355960845894</v>
      </c>
      <c r="E561" s="1">
        <f t="shared" si="17"/>
        <v>2.2947268831649534E-2</v>
      </c>
    </row>
    <row r="562" spans="1:5" x14ac:dyDescent="0.35">
      <c r="A562" t="s">
        <v>562</v>
      </c>
      <c r="B562" s="1">
        <v>2.52</v>
      </c>
      <c r="C562" s="1">
        <v>1.836562037467957</v>
      </c>
      <c r="D562" s="1">
        <f t="shared" si="16"/>
        <v>0.68343796253204303</v>
      </c>
      <c r="E562" s="1">
        <f t="shared" si="17"/>
        <v>0.46708744862995027</v>
      </c>
    </row>
    <row r="563" spans="1:5" x14ac:dyDescent="0.35">
      <c r="A563" t="s">
        <v>563</v>
      </c>
      <c r="B563" s="1">
        <v>1.26</v>
      </c>
      <c r="C563" s="1">
        <v>1.3102372884750371</v>
      </c>
      <c r="D563" s="1">
        <f t="shared" si="16"/>
        <v>5.0237288475037056E-2</v>
      </c>
      <c r="E563" s="1">
        <f t="shared" si="17"/>
        <v>2.523785153324091E-3</v>
      </c>
    </row>
    <row r="564" spans="1:5" x14ac:dyDescent="0.35">
      <c r="A564" t="s">
        <v>564</v>
      </c>
      <c r="B564" s="1">
        <v>2.99</v>
      </c>
      <c r="C564" s="1">
        <v>2.2315163612365718</v>
      </c>
      <c r="D564" s="1">
        <f t="shared" si="16"/>
        <v>0.75848363876342839</v>
      </c>
      <c r="E564" s="1">
        <f t="shared" si="17"/>
        <v>0.57529743027181091</v>
      </c>
    </row>
    <row r="565" spans="1:5" x14ac:dyDescent="0.35">
      <c r="A565" t="s">
        <v>565</v>
      </c>
      <c r="B565" s="1">
        <v>2.0299999999999998</v>
      </c>
      <c r="C565" s="1">
        <v>1.4618287086486821</v>
      </c>
      <c r="D565" s="1">
        <f t="shared" si="16"/>
        <v>0.56817129135131772</v>
      </c>
      <c r="E565" s="1">
        <f t="shared" si="17"/>
        <v>0.32281861631582398</v>
      </c>
    </row>
    <row r="566" spans="1:5" x14ac:dyDescent="0.35">
      <c r="A566" t="s">
        <v>566</v>
      </c>
      <c r="B566" s="1">
        <v>1.29</v>
      </c>
      <c r="C566" s="1">
        <v>1.187094449996948</v>
      </c>
      <c r="D566" s="1">
        <f t="shared" si="16"/>
        <v>0.10290555000305202</v>
      </c>
      <c r="E566" s="1">
        <f t="shared" si="17"/>
        <v>1.0589552221430638E-2</v>
      </c>
    </row>
    <row r="567" spans="1:5" x14ac:dyDescent="0.35">
      <c r="A567" t="s">
        <v>567</v>
      </c>
      <c r="B567" s="1">
        <v>4.24</v>
      </c>
      <c r="C567" s="1">
        <v>3.0291099548339839</v>
      </c>
      <c r="D567" s="1">
        <f t="shared" si="16"/>
        <v>1.2108900451660163</v>
      </c>
      <c r="E567" s="1">
        <f t="shared" si="17"/>
        <v>1.466254701482157</v>
      </c>
    </row>
    <row r="568" spans="1:5" x14ac:dyDescent="0.35">
      <c r="A568" t="s">
        <v>568</v>
      </c>
      <c r="B568" s="1">
        <v>2.88</v>
      </c>
      <c r="C568" s="1">
        <v>1.693600535392761</v>
      </c>
      <c r="D568" s="1">
        <f t="shared" si="16"/>
        <v>1.1863994646072389</v>
      </c>
      <c r="E568" s="1">
        <f t="shared" si="17"/>
        <v>1.407543689620343</v>
      </c>
    </row>
    <row r="569" spans="1:5" x14ac:dyDescent="0.35">
      <c r="A569" t="s">
        <v>569</v>
      </c>
      <c r="B569" s="1">
        <v>1.17</v>
      </c>
      <c r="C569" s="1">
        <v>1.2213436365127559</v>
      </c>
      <c r="D569" s="1">
        <f t="shared" si="16"/>
        <v>5.1343636512755975E-2</v>
      </c>
      <c r="E569" s="1">
        <f t="shared" si="17"/>
        <v>2.6361690103540083E-3</v>
      </c>
    </row>
    <row r="570" spans="1:5" x14ac:dyDescent="0.35">
      <c r="A570" t="s">
        <v>570</v>
      </c>
      <c r="B570" s="1">
        <v>2.57</v>
      </c>
      <c r="C570" s="1">
        <v>2.4403975009918208</v>
      </c>
      <c r="D570" s="1">
        <f t="shared" si="16"/>
        <v>0.129602499008179</v>
      </c>
      <c r="E570" s="1">
        <f t="shared" si="17"/>
        <v>1.6796807749165036E-2</v>
      </c>
    </row>
    <row r="571" spans="1:5" x14ac:dyDescent="0.35">
      <c r="A571" t="s">
        <v>571</v>
      </c>
      <c r="B571" s="1">
        <v>1.42</v>
      </c>
      <c r="C571" s="1">
        <v>1.394002318382263</v>
      </c>
      <c r="D571" s="1">
        <f t="shared" si="16"/>
        <v>2.5997681617736967E-2</v>
      </c>
      <c r="E571" s="1">
        <f t="shared" si="17"/>
        <v>6.7587944949721863E-4</v>
      </c>
    </row>
    <row r="572" spans="1:5" x14ac:dyDescent="0.35">
      <c r="A572" t="s">
        <v>572</v>
      </c>
      <c r="B572" s="1">
        <v>3.41</v>
      </c>
      <c r="C572" s="1">
        <v>2.876857995986938</v>
      </c>
      <c r="D572" s="1">
        <f t="shared" si="16"/>
        <v>0.53314200401306211</v>
      </c>
      <c r="E572" s="1">
        <f t="shared" si="17"/>
        <v>0.28424039644306393</v>
      </c>
    </row>
    <row r="573" spans="1:5" x14ac:dyDescent="0.35">
      <c r="A573" t="s">
        <v>573</v>
      </c>
      <c r="B573" s="1">
        <v>2.5499999999999998</v>
      </c>
      <c r="C573" s="1">
        <v>2.3745172023773189</v>
      </c>
      <c r="D573" s="1">
        <f t="shared" si="16"/>
        <v>0.17548279762268093</v>
      </c>
      <c r="E573" s="1">
        <f t="shared" si="17"/>
        <v>3.0794212261482792E-2</v>
      </c>
    </row>
    <row r="574" spans="1:5" x14ac:dyDescent="0.35">
      <c r="A574" t="s">
        <v>574</v>
      </c>
      <c r="B574" s="1">
        <v>3.02</v>
      </c>
      <c r="C574" s="1">
        <v>2.766240119934082</v>
      </c>
      <c r="D574" s="1">
        <f t="shared" si="16"/>
        <v>0.25375988006591799</v>
      </c>
      <c r="E574" s="1">
        <f t="shared" si="17"/>
        <v>6.4394076731069075E-2</v>
      </c>
    </row>
    <row r="575" spans="1:5" x14ac:dyDescent="0.35">
      <c r="A575" t="s">
        <v>575</v>
      </c>
      <c r="B575" s="1">
        <v>1.44</v>
      </c>
      <c r="C575" s="1">
        <v>1.2719987630844121</v>
      </c>
      <c r="D575" s="1">
        <f t="shared" si="16"/>
        <v>0.16800123691558788</v>
      </c>
      <c r="E575" s="1">
        <f t="shared" si="17"/>
        <v>2.8224415605167488E-2</v>
      </c>
    </row>
    <row r="576" spans="1:5" x14ac:dyDescent="0.35">
      <c r="A576" t="s">
        <v>576</v>
      </c>
      <c r="B576" s="1">
        <v>3.64</v>
      </c>
      <c r="C576" s="1">
        <v>3.3483428955078121</v>
      </c>
      <c r="D576" s="1">
        <f t="shared" si="16"/>
        <v>0.29165710449218807</v>
      </c>
      <c r="E576" s="1">
        <f t="shared" si="17"/>
        <v>8.5063866600767105E-2</v>
      </c>
    </row>
    <row r="577" spans="1:5" x14ac:dyDescent="0.35">
      <c r="A577" t="s">
        <v>577</v>
      </c>
      <c r="B577" s="1">
        <v>1.3</v>
      </c>
      <c r="C577" s="1">
        <v>1.302311062812805</v>
      </c>
      <c r="D577" s="1">
        <f t="shared" si="16"/>
        <v>2.3110628128049093E-3</v>
      </c>
      <c r="E577" s="1">
        <f t="shared" si="17"/>
        <v>5.3410113247297394E-6</v>
      </c>
    </row>
    <row r="578" spans="1:5" x14ac:dyDescent="0.35">
      <c r="A578" t="s">
        <v>578</v>
      </c>
      <c r="B578" s="1">
        <v>3.97</v>
      </c>
      <c r="C578" s="1">
        <v>4.1073565483093262</v>
      </c>
      <c r="D578" s="1">
        <f t="shared" si="16"/>
        <v>0.13735654830932598</v>
      </c>
      <c r="E578" s="1">
        <f t="shared" si="17"/>
        <v>1.8866821363452201E-2</v>
      </c>
    </row>
    <row r="579" spans="1:5" x14ac:dyDescent="0.35">
      <c r="A579" t="s">
        <v>579</v>
      </c>
      <c r="B579" s="1">
        <v>2.77</v>
      </c>
      <c r="C579" s="1">
        <v>1.7679204940795901</v>
      </c>
      <c r="D579" s="1">
        <f t="shared" ref="D579:D611" si="18">ABS(B579-C579)</f>
        <v>1.00207950592041</v>
      </c>
      <c r="E579" s="1">
        <f t="shared" ref="E579:E611" si="19">(B579-C579)^2</f>
        <v>1.004163336185693</v>
      </c>
    </row>
    <row r="580" spans="1:5" x14ac:dyDescent="0.35">
      <c r="A580" t="s">
        <v>580</v>
      </c>
      <c r="B580" s="1">
        <v>1.58</v>
      </c>
      <c r="C580" s="1">
        <v>1.277814507484436</v>
      </c>
      <c r="D580" s="1">
        <f t="shared" si="18"/>
        <v>0.30218549251556404</v>
      </c>
      <c r="E580" s="1">
        <f t="shared" si="19"/>
        <v>9.1316071886874003E-2</v>
      </c>
    </row>
    <row r="581" spans="1:5" x14ac:dyDescent="0.35">
      <c r="A581" t="s">
        <v>581</v>
      </c>
      <c r="B581" s="1">
        <v>4.34</v>
      </c>
      <c r="C581" s="1">
        <v>4.0073895454406738</v>
      </c>
      <c r="D581" s="1">
        <f t="shared" si="18"/>
        <v>0.33261045455932603</v>
      </c>
      <c r="E581" s="1">
        <f t="shared" si="19"/>
        <v>0.11062971448216148</v>
      </c>
    </row>
    <row r="582" spans="1:5" x14ac:dyDescent="0.35">
      <c r="A582" t="s">
        <v>582</v>
      </c>
      <c r="B582" s="1">
        <v>2.19</v>
      </c>
      <c r="C582" s="1">
        <v>1.720045804977417</v>
      </c>
      <c r="D582" s="1">
        <f t="shared" si="18"/>
        <v>0.46995419502258295</v>
      </c>
      <c r="E582" s="1">
        <f t="shared" si="19"/>
        <v>0.22085694541932394</v>
      </c>
    </row>
    <row r="583" spans="1:5" x14ac:dyDescent="0.35">
      <c r="A583" t="s">
        <v>583</v>
      </c>
      <c r="B583" s="1">
        <v>3.46</v>
      </c>
      <c r="C583" s="1">
        <v>2.3840689659118648</v>
      </c>
      <c r="D583" s="1">
        <f t="shared" si="18"/>
        <v>1.0759310340881352</v>
      </c>
      <c r="E583" s="1">
        <f t="shared" si="19"/>
        <v>1.1576275901139639</v>
      </c>
    </row>
    <row r="584" spans="1:5" x14ac:dyDescent="0.35">
      <c r="A584" t="s">
        <v>584</v>
      </c>
      <c r="B584" s="1">
        <v>1.71</v>
      </c>
      <c r="C584" s="1">
        <v>1.208418607711792</v>
      </c>
      <c r="D584" s="1">
        <f t="shared" si="18"/>
        <v>0.50158139228820797</v>
      </c>
      <c r="E584" s="1">
        <f t="shared" si="19"/>
        <v>0.25158389308977719</v>
      </c>
    </row>
    <row r="585" spans="1:5" x14ac:dyDescent="0.35">
      <c r="A585" t="s">
        <v>585</v>
      </c>
      <c r="B585" s="1">
        <v>4.2300000000000004</v>
      </c>
      <c r="C585" s="1">
        <v>4.0703282356262207</v>
      </c>
      <c r="D585" s="1">
        <f t="shared" si="18"/>
        <v>0.15967176437377972</v>
      </c>
      <c r="E585" s="1">
        <f t="shared" si="19"/>
        <v>2.5495072338235832E-2</v>
      </c>
    </row>
    <row r="586" spans="1:5" x14ac:dyDescent="0.35">
      <c r="A586" t="s">
        <v>586</v>
      </c>
      <c r="B586" s="1">
        <v>3.32</v>
      </c>
      <c r="C586" s="1">
        <v>2.1673188209533691</v>
      </c>
      <c r="D586" s="1">
        <f t="shared" si="18"/>
        <v>1.1526811790466307</v>
      </c>
      <c r="E586" s="1">
        <f t="shared" si="19"/>
        <v>1.3286739005283308</v>
      </c>
    </row>
    <row r="587" spans="1:5" x14ac:dyDescent="0.35">
      <c r="A587" t="s">
        <v>587</v>
      </c>
      <c r="B587" s="1">
        <v>1.69</v>
      </c>
      <c r="C587" s="1">
        <v>1.263433694839478</v>
      </c>
      <c r="D587" s="1">
        <f t="shared" si="18"/>
        <v>0.42656630516052196</v>
      </c>
      <c r="E587" s="1">
        <f t="shared" si="19"/>
        <v>0.18195881269829955</v>
      </c>
    </row>
    <row r="588" spans="1:5" x14ac:dyDescent="0.35">
      <c r="A588" t="s">
        <v>588</v>
      </c>
      <c r="B588" s="1">
        <v>2.76</v>
      </c>
      <c r="C588" s="1">
        <v>3.1198799610137939</v>
      </c>
      <c r="D588" s="1">
        <f t="shared" si="18"/>
        <v>0.35987996101379416</v>
      </c>
      <c r="E588" s="1">
        <f t="shared" si="19"/>
        <v>0.12951358633929</v>
      </c>
    </row>
    <row r="589" spans="1:5" x14ac:dyDescent="0.35">
      <c r="A589" t="s">
        <v>589</v>
      </c>
      <c r="B589" s="1">
        <v>1.75</v>
      </c>
      <c r="C589" s="1">
        <v>1.450300335884094</v>
      </c>
      <c r="D589" s="1">
        <f t="shared" si="18"/>
        <v>0.29969966411590598</v>
      </c>
      <c r="E589" s="1">
        <f t="shared" si="19"/>
        <v>8.981988867118687E-2</v>
      </c>
    </row>
    <row r="590" spans="1:5" x14ac:dyDescent="0.35">
      <c r="A590" t="s">
        <v>590</v>
      </c>
      <c r="B590" s="1">
        <v>2.85</v>
      </c>
      <c r="C590" s="1">
        <v>3.2278051376342769</v>
      </c>
      <c r="D590" s="1">
        <f t="shared" si="18"/>
        <v>0.37780513763427681</v>
      </c>
      <c r="E590" s="1">
        <f t="shared" si="19"/>
        <v>0.14273672202285484</v>
      </c>
    </row>
    <row r="591" spans="1:5" x14ac:dyDescent="0.35">
      <c r="A591" t="s">
        <v>591</v>
      </c>
      <c r="B591" s="1">
        <v>2.14</v>
      </c>
      <c r="C591" s="1">
        <v>2.5260708332061772</v>
      </c>
      <c r="D591" s="1">
        <f t="shared" si="18"/>
        <v>0.38607083320617708</v>
      </c>
      <c r="E591" s="1">
        <f t="shared" si="19"/>
        <v>0.1490506882525118</v>
      </c>
    </row>
    <row r="592" spans="1:5" x14ac:dyDescent="0.35">
      <c r="A592" t="s">
        <v>592</v>
      </c>
      <c r="B592" s="1">
        <v>3.46</v>
      </c>
      <c r="C592" s="1">
        <v>3.7918410301208501</v>
      </c>
      <c r="D592" s="1">
        <f t="shared" si="18"/>
        <v>0.33184103012085009</v>
      </c>
      <c r="E592" s="1">
        <f t="shared" si="19"/>
        <v>0.11011846927166694</v>
      </c>
    </row>
    <row r="593" spans="1:5" x14ac:dyDescent="0.35">
      <c r="A593" t="s">
        <v>593</v>
      </c>
      <c r="B593" s="1">
        <v>3.22</v>
      </c>
      <c r="C593" s="1">
        <v>2.9227852821350102</v>
      </c>
      <c r="D593" s="1">
        <f t="shared" si="18"/>
        <v>0.29721471786498999</v>
      </c>
      <c r="E593" s="1">
        <f t="shared" si="19"/>
        <v>8.8336588515565598E-2</v>
      </c>
    </row>
    <row r="594" spans="1:5" x14ac:dyDescent="0.35">
      <c r="A594" t="s">
        <v>594</v>
      </c>
      <c r="B594" s="1">
        <v>2.71</v>
      </c>
      <c r="C594" s="1">
        <v>2.7993342876434331</v>
      </c>
      <c r="D594" s="1">
        <f t="shared" si="18"/>
        <v>8.9334287643433097E-2</v>
      </c>
      <c r="E594" s="1">
        <f t="shared" si="19"/>
        <v>7.9806149487596425E-3</v>
      </c>
    </row>
    <row r="595" spans="1:5" x14ac:dyDescent="0.35">
      <c r="A595" t="s">
        <v>595</v>
      </c>
      <c r="B595" s="1">
        <v>1.62</v>
      </c>
      <c r="C595" s="1">
        <v>1.2985436916351321</v>
      </c>
      <c r="D595" s="1">
        <f t="shared" si="18"/>
        <v>0.32145630836486805</v>
      </c>
      <c r="E595" s="1">
        <f t="shared" si="19"/>
        <v>0.10333415818756914</v>
      </c>
    </row>
    <row r="596" spans="1:5" x14ac:dyDescent="0.35">
      <c r="A596" t="s">
        <v>596</v>
      </c>
      <c r="B596" s="1">
        <v>4.22</v>
      </c>
      <c r="C596" s="1">
        <v>4.3097491264343262</v>
      </c>
      <c r="D596" s="1">
        <f t="shared" si="18"/>
        <v>8.9749126434326421E-2</v>
      </c>
      <c r="E596" s="1">
        <f t="shared" si="19"/>
        <v>8.0549056957247098E-3</v>
      </c>
    </row>
    <row r="597" spans="1:5" x14ac:dyDescent="0.35">
      <c r="A597" t="s">
        <v>597</v>
      </c>
      <c r="B597" s="1">
        <v>1.8</v>
      </c>
      <c r="C597" s="1">
        <v>2.6158854961395259</v>
      </c>
      <c r="D597" s="1">
        <f t="shared" si="18"/>
        <v>0.81588549613952588</v>
      </c>
      <c r="E597" s="1">
        <f t="shared" si="19"/>
        <v>0.66566914281084033</v>
      </c>
    </row>
    <row r="598" spans="1:5" x14ac:dyDescent="0.35">
      <c r="A598" t="s">
        <v>598</v>
      </c>
      <c r="B598" s="1">
        <v>4.13</v>
      </c>
      <c r="C598" s="1">
        <v>4.6506505012512207</v>
      </c>
      <c r="D598" s="1">
        <f t="shared" si="18"/>
        <v>0.52065050125122081</v>
      </c>
      <c r="E598" s="1">
        <f t="shared" si="19"/>
        <v>0.27107694445314751</v>
      </c>
    </row>
    <row r="599" spans="1:5" x14ac:dyDescent="0.35">
      <c r="A599" t="s">
        <v>599</v>
      </c>
      <c r="B599" s="1">
        <v>2.4300000000000002</v>
      </c>
      <c r="C599" s="1">
        <v>2.9411740303039551</v>
      </c>
      <c r="D599" s="1">
        <f t="shared" si="18"/>
        <v>0.51117403030395492</v>
      </c>
      <c r="E599" s="1">
        <f t="shared" si="19"/>
        <v>0.26129888925718864</v>
      </c>
    </row>
    <row r="600" spans="1:5" x14ac:dyDescent="0.35">
      <c r="A600" t="s">
        <v>600</v>
      </c>
      <c r="B600" s="1">
        <v>4.32</v>
      </c>
      <c r="C600" s="1">
        <v>3.9602324962615971</v>
      </c>
      <c r="D600" s="1">
        <f t="shared" si="18"/>
        <v>0.35976750373840316</v>
      </c>
      <c r="E600" s="1">
        <f t="shared" si="19"/>
        <v>0.12943265674616194</v>
      </c>
    </row>
    <row r="601" spans="1:5" x14ac:dyDescent="0.35">
      <c r="A601" t="s">
        <v>601</v>
      </c>
      <c r="B601" s="1">
        <v>2</v>
      </c>
      <c r="C601" s="1">
        <v>1.5802932977676389</v>
      </c>
      <c r="D601" s="1">
        <f t="shared" si="18"/>
        <v>0.41970670223236106</v>
      </c>
      <c r="E601" s="1">
        <f t="shared" si="19"/>
        <v>0.1761537158987638</v>
      </c>
    </row>
    <row r="602" spans="1:5" x14ac:dyDescent="0.35">
      <c r="A602" t="s">
        <v>602</v>
      </c>
      <c r="B602" s="1">
        <v>3.49</v>
      </c>
      <c r="C602" s="1">
        <v>3.854723453521729</v>
      </c>
      <c r="D602" s="1">
        <f t="shared" si="18"/>
        <v>0.36472345352172875</v>
      </c>
      <c r="E602" s="1">
        <f t="shared" si="19"/>
        <v>0.13302319754881664</v>
      </c>
    </row>
    <row r="603" spans="1:5" x14ac:dyDescent="0.35">
      <c r="A603" t="s">
        <v>603</v>
      </c>
      <c r="B603" s="1">
        <v>2.76</v>
      </c>
      <c r="C603" s="1">
        <v>1.9844391345977781</v>
      </c>
      <c r="D603" s="1">
        <f t="shared" si="18"/>
        <v>0.77556086540222169</v>
      </c>
      <c r="E603" s="1">
        <f t="shared" si="19"/>
        <v>0.60149465594344298</v>
      </c>
    </row>
    <row r="604" spans="1:5" x14ac:dyDescent="0.35">
      <c r="A604" t="s">
        <v>604</v>
      </c>
      <c r="B604" s="1">
        <v>3.86</v>
      </c>
      <c r="C604" s="1">
        <v>3.8548095226287842</v>
      </c>
      <c r="D604" s="1">
        <f t="shared" si="18"/>
        <v>5.190477371215696E-3</v>
      </c>
      <c r="E604" s="1">
        <f t="shared" si="19"/>
        <v>2.6941055341102203E-5</v>
      </c>
    </row>
    <row r="605" spans="1:5" x14ac:dyDescent="0.35">
      <c r="A605" t="s">
        <v>605</v>
      </c>
      <c r="B605" s="1">
        <v>1.78</v>
      </c>
      <c r="C605" s="1">
        <v>1.875513076782227</v>
      </c>
      <c r="D605" s="1">
        <f t="shared" si="18"/>
        <v>9.551307678222698E-2</v>
      </c>
      <c r="E605" s="1">
        <f t="shared" si="19"/>
        <v>9.122747836407586E-3</v>
      </c>
    </row>
    <row r="606" spans="1:5" x14ac:dyDescent="0.35">
      <c r="A606" t="s">
        <v>606</v>
      </c>
      <c r="B606" s="1">
        <v>3.62</v>
      </c>
      <c r="C606" s="1">
        <v>3.4452943801879878</v>
      </c>
      <c r="D606" s="1">
        <f t="shared" si="18"/>
        <v>0.17470561981201227</v>
      </c>
      <c r="E606" s="1">
        <f t="shared" si="19"/>
        <v>3.0522053593899375E-2</v>
      </c>
    </row>
    <row r="607" spans="1:5" x14ac:dyDescent="0.35">
      <c r="A607" t="s">
        <v>607</v>
      </c>
      <c r="B607" s="1">
        <v>2.14</v>
      </c>
      <c r="C607" s="1">
        <v>2.4170856475830078</v>
      </c>
      <c r="D607" s="1">
        <f t="shared" si="18"/>
        <v>0.27708564758300769</v>
      </c>
      <c r="E607" s="1">
        <f t="shared" si="19"/>
        <v>7.6776456096494736E-2</v>
      </c>
    </row>
    <row r="608" spans="1:5" x14ac:dyDescent="0.35">
      <c r="A608" t="s">
        <v>608</v>
      </c>
      <c r="B608" s="1">
        <v>3.98</v>
      </c>
      <c r="C608" s="1">
        <v>4.1221671104431152</v>
      </c>
      <c r="D608" s="1">
        <f t="shared" si="18"/>
        <v>0.14216711044311525</v>
      </c>
      <c r="E608" s="1">
        <f t="shared" si="19"/>
        <v>2.0211487291744931E-2</v>
      </c>
    </row>
    <row r="609" spans="1:5" x14ac:dyDescent="0.35">
      <c r="A609" t="s">
        <v>609</v>
      </c>
      <c r="B609" s="1">
        <v>3.75</v>
      </c>
      <c r="C609" s="1">
        <v>3.4409611225128169</v>
      </c>
      <c r="D609" s="1">
        <f t="shared" si="18"/>
        <v>0.30903887748718306</v>
      </c>
      <c r="E609" s="1">
        <f t="shared" si="19"/>
        <v>9.5505027798538145E-2</v>
      </c>
    </row>
    <row r="610" spans="1:5" x14ac:dyDescent="0.35">
      <c r="A610" t="s">
        <v>610</v>
      </c>
      <c r="B610" s="1">
        <v>4.03</v>
      </c>
      <c r="C610" s="1">
        <v>4.3052253723144531</v>
      </c>
      <c r="D610" s="1">
        <f t="shared" si="18"/>
        <v>0.27522537231445288</v>
      </c>
      <c r="E610" s="1">
        <f t="shared" si="19"/>
        <v>7.5749005565629204E-2</v>
      </c>
    </row>
    <row r="611" spans="1:5" x14ac:dyDescent="0.35">
      <c r="A611" t="s">
        <v>611</v>
      </c>
      <c r="B611" s="1">
        <v>3.99</v>
      </c>
      <c r="C611" s="1">
        <v>3.524843692779541</v>
      </c>
      <c r="D611" s="1">
        <f t="shared" si="18"/>
        <v>0.4651563072204592</v>
      </c>
      <c r="E611" s="1">
        <f t="shared" si="19"/>
        <v>0.21637039014697423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Net4U</dc:creator>
  <cp:lastModifiedBy>Lab Net4u</cp:lastModifiedBy>
  <dcterms:created xsi:type="dcterms:W3CDTF">2015-06-05T18:19:34Z</dcterms:created>
  <dcterms:modified xsi:type="dcterms:W3CDTF">2026-03-30T16:37:18Z</dcterms:modified>
</cp:coreProperties>
</file>