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et4U\Desktop\Nuove simulazioni\"/>
    </mc:Choice>
  </mc:AlternateContent>
  <xr:revisionPtr revIDLastSave="0" documentId="13_ncr:1_{768E0401-C783-45C6-8DF3-8F8E8DC7FD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glio1" sheetId="1" r:id="rId1"/>
  </sheets>
  <definedNames>
    <definedName name="_xlchart.v1.0" hidden="1">Foglio1!$D$1</definedName>
    <definedName name="_xlchart.v1.1" hidden="1">Foglio1!$D$2:$D$438</definedName>
    <definedName name="_xlchart.v1.2" hidden="1">Foglio1!$D$1</definedName>
    <definedName name="_xlchart.v1.3" hidden="1">Foglio1!$D$2:$D$438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 a="1"/>
  <c r="M6" i="1" s="1"/>
  <c r="L6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2" i="1"/>
  <c r="I9" i="1" l="1"/>
  <c r="J6" i="1"/>
  <c r="I6" i="1"/>
  <c r="J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<sst xmlns="http://schemas.openxmlformats.org/spreadsheetml/2006/main" count="448" uniqueCount="448">
  <si>
    <t>subjective MOS</t>
  </si>
  <si>
    <t>predicted MOS</t>
  </si>
  <si>
    <t>absolute error</t>
  </si>
  <si>
    <t>squared error</t>
  </si>
  <si>
    <t>ID Sequence</t>
  </si>
  <si>
    <t>Beauty_1080p_120hz_q_27</t>
  </si>
  <si>
    <t>Beauty_1080p_120hz_q_29</t>
  </si>
  <si>
    <t>Beauty_1080p_120hz_q_35</t>
  </si>
  <si>
    <t>Beauty_1080p_120hz_q_41</t>
  </si>
  <si>
    <t>Beauty_1080p_60hz_q_25</t>
  </si>
  <si>
    <t>Beauty_1080p_60hz_q_33</t>
  </si>
  <si>
    <t>Beauty_1080p_60hz_q_39</t>
  </si>
  <si>
    <t>Beauty_2160p_120hz_q_29</t>
  </si>
  <si>
    <t>Beauty_2160p_120hz_q_33</t>
  </si>
  <si>
    <t>Beauty_2160p_120hz_q_37</t>
  </si>
  <si>
    <t>Beauty_2160p_120hz_q_43</t>
  </si>
  <si>
    <t>Beauty_2160p_120hz_q_49</t>
  </si>
  <si>
    <t>Beauty_2160p_60hz_q_31</t>
  </si>
  <si>
    <t>Beauty_2160p_60hz_q_35</t>
  </si>
  <si>
    <t>Beauty_2160p_60hz_q_39</t>
  </si>
  <si>
    <t>Beauty_2160p_60hz_q_45</t>
  </si>
  <si>
    <t>Beauty_540p_120hz_q_19</t>
  </si>
  <si>
    <t>Beauty_540p_120hz_q_23</t>
  </si>
  <si>
    <t>Beauty_540p_120hz_q_29</t>
  </si>
  <si>
    <t>Beauty_540p_120hz_q_33</t>
  </si>
  <si>
    <t>Beauty_540p_60hz_q_21</t>
  </si>
  <si>
    <t>Beauty_540p_60hz_q_27</t>
  </si>
  <si>
    <t>Beauty_540p_60hz_q_31</t>
  </si>
  <si>
    <t>Beauty_720p_120hz_q_23</t>
  </si>
  <si>
    <t>Beauty_720p_120hz_q_27</t>
  </si>
  <si>
    <t>Beauty_720p_120hz_q_31</t>
  </si>
  <si>
    <t>Beauty_720p_120hz_q_37</t>
  </si>
  <si>
    <t>Beauty_720p_60hz_q_21</t>
  </si>
  <si>
    <t>Beauty_720p_60hz_q_29</t>
  </si>
  <si>
    <t>Beauty_720p_60hz_q_33</t>
  </si>
  <si>
    <t>Dancers_1080p_30hz_q_25</t>
  </si>
  <si>
    <t>Dancers_1080p_30hz_q_29</t>
  </si>
  <si>
    <t>Dancers_1080p_30hz_q_35</t>
  </si>
  <si>
    <t>Dancers_1080p_60hz_q_25</t>
  </si>
  <si>
    <t>Dancers_1080p_60hz_q_31</t>
  </si>
  <si>
    <t>Dancers_1080p_60hz_q_39</t>
  </si>
  <si>
    <t>Dancers_2160p_30hz_q_31</t>
  </si>
  <si>
    <t>Dancers_2160p_30hz_q_35</t>
  </si>
  <si>
    <t>Dancers_2160p_30hz_q_41</t>
  </si>
  <si>
    <t>Dancers_2160p_30hz_q_45</t>
  </si>
  <si>
    <t>Dancers_2160p_60hz_q_25</t>
  </si>
  <si>
    <t>Dancers_2160p_60hz_q_33</t>
  </si>
  <si>
    <t>Dancers_2160p_60hz_q_39</t>
  </si>
  <si>
    <t>Dancers_2160p_60hz_q_45</t>
  </si>
  <si>
    <t>Dancers_2160p_60hz_q_49</t>
  </si>
  <si>
    <t>Dancers_540p_30hz_q_17</t>
  </si>
  <si>
    <t>Dancers_540p_30hz_q_23</t>
  </si>
  <si>
    <t>Dancers_540p_30hz_q_29</t>
  </si>
  <si>
    <t>Dancers_540p_60hz_q_21</t>
  </si>
  <si>
    <t>Dancers_540p_60hz_q_25</t>
  </si>
  <si>
    <t>Dancers_540p_60hz_q_31</t>
  </si>
  <si>
    <t>Dancers_720p_30hz_q_21</t>
  </si>
  <si>
    <t>Dancers_720p_30hz_q_25</t>
  </si>
  <si>
    <t>Dancers_720p_30hz_q_31</t>
  </si>
  <si>
    <t>Dancers_720p_60hz_q_23</t>
  </si>
  <si>
    <t>Dancers_720p_60hz_q_27</t>
  </si>
  <si>
    <t>Dancers_720p_60hz_q_33</t>
  </si>
  <si>
    <t>Dinner_1080p_30hz_q_25</t>
  </si>
  <si>
    <t>Dinner_1080p_30hz_q_29</t>
  </si>
  <si>
    <t>Dinner_1080p_30hz_q_33</t>
  </si>
  <si>
    <t>Dinner_1080p_60hz_q_25</t>
  </si>
  <si>
    <t>Dinner_1080p_60hz_q_31</t>
  </si>
  <si>
    <t>Dinner_1080p_60hz_q_35</t>
  </si>
  <si>
    <t>Dinner_2160p_30hz_q_31</t>
  </si>
  <si>
    <t>Dinner_2160p_30hz_q_37</t>
  </si>
  <si>
    <t>Dinner_2160p_30hz_q_41</t>
  </si>
  <si>
    <t>Dinner_2160p_60hz_q_25</t>
  </si>
  <si>
    <t>Dinner_2160p_60hz_q_33</t>
  </si>
  <si>
    <t>Dinner_2160p_60hz_q_37</t>
  </si>
  <si>
    <t>Dinner_2160p_60hz_q_41</t>
  </si>
  <si>
    <t>Dinner_2160p_60hz_q_49</t>
  </si>
  <si>
    <t>Dinner_540p_30hz_q_17</t>
  </si>
  <si>
    <t>Dinner_540p_30hz_q_21</t>
  </si>
  <si>
    <t>Dinner_540p_30hz_q_25</t>
  </si>
  <si>
    <t>Dinner_540p_60hz_q_19</t>
  </si>
  <si>
    <t>Dinner_540p_60hz_q_23</t>
  </si>
  <si>
    <t>Dinner_540p_60hz_q_25</t>
  </si>
  <si>
    <t>Dinner_720p_30hz_q_21</t>
  </si>
  <si>
    <t>Dinner_720p_30hz_q_25</t>
  </si>
  <si>
    <t>Dinner_720p_30hz_q_27</t>
  </si>
  <si>
    <t>Dinner_720p_60hz_q_21</t>
  </si>
  <si>
    <t>Dinner_720p_60hz_q_25</t>
  </si>
  <si>
    <t>Dinner_720p_60hz_q_29</t>
  </si>
  <si>
    <t>Discuss_1080p_30hz_q_25</t>
  </si>
  <si>
    <t>Discuss_1080p_30hz_q_29</t>
  </si>
  <si>
    <t>Discuss_1080p_30hz_q_33</t>
  </si>
  <si>
    <t>Discuss_1080p_30hz_q_37</t>
  </si>
  <si>
    <t>Discuss_1080p_60hz_q_25</t>
  </si>
  <si>
    <t>Discuss_1080p_60hz_q_29</t>
  </si>
  <si>
    <t>Discuss_1080p_60hz_q_35</t>
  </si>
  <si>
    <t>Discuss_1080p_60hz_q_39</t>
  </si>
  <si>
    <t>Discuss_2160p_30hz_q_31</t>
  </si>
  <si>
    <t>Discuss_2160p_30hz_q_35</t>
  </si>
  <si>
    <t>Discuss_2160p_30hz_q_41</t>
  </si>
  <si>
    <t>Discuss_2160p_30hz_q_45</t>
  </si>
  <si>
    <t>Discuss_2160p_60hz_q_27</t>
  </si>
  <si>
    <t>Discuss_2160p_60hz_q_33</t>
  </si>
  <si>
    <t>Discuss_2160p_60hz_q_37</t>
  </si>
  <si>
    <t>Discuss_2160p_60hz_q_43</t>
  </si>
  <si>
    <t>Discuss_2160p_60hz_q_49</t>
  </si>
  <si>
    <t>Discuss_540p_30hz_q_17</t>
  </si>
  <si>
    <t>Discuss_540p_30hz_q_21</t>
  </si>
  <si>
    <t>Discuss_540p_30hz_q_29</t>
  </si>
  <si>
    <t>Discuss_540p_60hz_q_19</t>
  </si>
  <si>
    <t>Discuss_540p_60hz_q_23</t>
  </si>
  <si>
    <t>Discuss_540p_60hz_q_31</t>
  </si>
  <si>
    <t>Discuss_720p_30hz_q_21</t>
  </si>
  <si>
    <t>Discuss_720p_30hz_q_25</t>
  </si>
  <si>
    <t>Discuss_720p_30hz_q_29</t>
  </si>
  <si>
    <t>Discuss_720p_30hz_q_33</t>
  </si>
  <si>
    <t>Discuss_720p_60hz_q_21</t>
  </si>
  <si>
    <t>Discuss_720p_60hz_q_25</t>
  </si>
  <si>
    <t>Discuss_720p_60hz_q_31</t>
  </si>
  <si>
    <t>Discuss_720p_60hz_q_35</t>
  </si>
  <si>
    <t>Football_1080p_30hz_q_27</t>
  </si>
  <si>
    <t>Football_1080p_30hz_q_31</t>
  </si>
  <si>
    <t>Football_1080p_30hz_q_35</t>
  </si>
  <si>
    <t>Football_1080p_30hz_q_41</t>
  </si>
  <si>
    <t>Football_1080p_60hz_q_29</t>
  </si>
  <si>
    <t>Football_1080p_60hz_q_33</t>
  </si>
  <si>
    <t>Football_1080p_60hz_q_37</t>
  </si>
  <si>
    <t>Football_1080p_60hz_q_43</t>
  </si>
  <si>
    <t>Football_2160p_30hz_q_33</t>
  </si>
  <si>
    <t>Football_2160p_30hz_q_39</t>
  </si>
  <si>
    <t>Football_2160p_30hz_q_43</t>
  </si>
  <si>
    <t>Football_2160p_30hz_q_47</t>
  </si>
  <si>
    <t>Football_2160p_60hz_q_27</t>
  </si>
  <si>
    <t>Football_2160p_60hz_q_35</t>
  </si>
  <si>
    <t>Football_2160p_60hz_q_41</t>
  </si>
  <si>
    <t>Football_2160p_60hz_q_45</t>
  </si>
  <si>
    <t>Football_2160p_60hz_q_51</t>
  </si>
  <si>
    <t>Football_540p_30hz_q_17</t>
  </si>
  <si>
    <t>Football_540p_30hz_q_23</t>
  </si>
  <si>
    <t>Football_540p_30hz_q_33</t>
  </si>
  <si>
    <t>Football_540p_60hz_q_21</t>
  </si>
  <si>
    <t>Football_540p_60hz_q_27</t>
  </si>
  <si>
    <t>Football_540p_60hz_q_35</t>
  </si>
  <si>
    <t>Football_720p_30hz_q_21</t>
  </si>
  <si>
    <t>Football_720p_30hz_q_27</t>
  </si>
  <si>
    <t>Football_720p_30hz_q_31</t>
  </si>
  <si>
    <t>Football_720p_30hz_q_37</t>
  </si>
  <si>
    <t>Football_720p_60hz_q_25</t>
  </si>
  <si>
    <t>Football_720p_60hz_q_29</t>
  </si>
  <si>
    <t>Football_720p_60hz_q_33</t>
  </si>
  <si>
    <t>Football_720p_60hz_q_39</t>
  </si>
  <si>
    <t>HoneyBee_1080p_120hz_q_23</t>
  </si>
  <si>
    <t>HoneyBee_1080p_120hz_q_27</t>
  </si>
  <si>
    <t>HoneyBee_1080p_120hz_q_33</t>
  </si>
  <si>
    <t>HoneyBee_1080p_120hz_q_37</t>
  </si>
  <si>
    <t>HoneyBee_1080p_60hz_q_23</t>
  </si>
  <si>
    <t>HoneyBee_1080p_60hz_q_27</t>
  </si>
  <si>
    <t>HoneyBee_1080p_60hz_q_31</t>
  </si>
  <si>
    <t>HoneyBee_1080p_60hz_q_35</t>
  </si>
  <si>
    <t>HoneyBee_2160p_120hz_q_25</t>
  </si>
  <si>
    <t>HoneyBee_2160p_120hz_q_29</t>
  </si>
  <si>
    <t>HoneyBee_2160p_120hz_q_35</t>
  </si>
  <si>
    <t>HoneyBee_2160p_120hz_q_43</t>
  </si>
  <si>
    <t>HoneyBee_2160p_120hz_q_51</t>
  </si>
  <si>
    <t>HoneyBee_2160p_60hz_q_29</t>
  </si>
  <si>
    <t>HoneyBee_2160p_60hz_q_33</t>
  </si>
  <si>
    <t>HoneyBee_2160p_60hz_q_39</t>
  </si>
  <si>
    <t>HoneyBee_2160p_60hz_q_45</t>
  </si>
  <si>
    <t>HoneyBee_540p_120hz_q_17</t>
  </si>
  <si>
    <t>HoneyBee_540p_120hz_q_25</t>
  </si>
  <si>
    <t>HoneyBee_540p_120hz_q_29</t>
  </si>
  <si>
    <t>HoneyBee_540p_60hz_q_19</t>
  </si>
  <si>
    <t>HoneyBee_540p_60hz_q_23</t>
  </si>
  <si>
    <t>HoneyBee_540p_60hz_q_27</t>
  </si>
  <si>
    <t>HoneyBee_720p_120hz_q_19</t>
  </si>
  <si>
    <t>HoneyBee_720p_120hz_q_27</t>
  </si>
  <si>
    <t>HoneyBee_720p_120hz_q_31</t>
  </si>
  <si>
    <t>HoneyBee_720p_60hz_q_19</t>
  </si>
  <si>
    <t>HoneyBee_720p_60hz_q_27</t>
  </si>
  <si>
    <t>HoneyBee_720p_60hz_q_31</t>
  </si>
  <si>
    <t>Jockey_1080p_120hz_q_27</t>
  </si>
  <si>
    <t>Jockey_1080p_120hz_q_31</t>
  </si>
  <si>
    <t>Jockey_1080p_120hz_q_35</t>
  </si>
  <si>
    <t>Jockey_1080p_120hz_q_41</t>
  </si>
  <si>
    <t>Jockey_1080p_60hz_q_25</t>
  </si>
  <si>
    <t>Jockey_1080p_60hz_q_33</t>
  </si>
  <si>
    <t>Jockey_1080p_60hz_q_37</t>
  </si>
  <si>
    <t>Jockey_2160p_120hz_q_25</t>
  </si>
  <si>
    <t>Jockey_2160p_120hz_q_33</t>
  </si>
  <si>
    <t>Jockey_2160p_120hz_q_39</t>
  </si>
  <si>
    <t>Jockey_2160p_120hz_q_45</t>
  </si>
  <si>
    <t>Jockey_2160p_120hz_q_51</t>
  </si>
  <si>
    <t>Jockey_2160p_60hz_q_33</t>
  </si>
  <si>
    <t>Jockey_2160p_60hz_q_37</t>
  </si>
  <si>
    <t>Jockey_2160p_60hz_q_43</t>
  </si>
  <si>
    <t>Jockey_2160p_60hz_q_47</t>
  </si>
  <si>
    <t>Jockey_540p_120hz_q_23</t>
  </si>
  <si>
    <t>Jockey_540p_120hz_q_29</t>
  </si>
  <si>
    <t>Jockey_540p_120hz_q_33</t>
  </si>
  <si>
    <t>Jockey_540p_60hz_q_21</t>
  </si>
  <si>
    <t>Jockey_540p_60hz_q_25</t>
  </si>
  <si>
    <t>Jockey_540p_60hz_q_31</t>
  </si>
  <si>
    <t>Jockey_720p_120hz_q_23</t>
  </si>
  <si>
    <t>Jockey_720p_120hz_q_27</t>
  </si>
  <si>
    <t>Jockey_720p_120hz_q_31</t>
  </si>
  <si>
    <t>Jockey_720p_120hz_q_35</t>
  </si>
  <si>
    <t>Jockey_720p_60hz_q_21</t>
  </si>
  <si>
    <t>Jockey_720p_60hz_q_29</t>
  </si>
  <si>
    <t>Jockey_720p_60hz_q_33</t>
  </si>
  <si>
    <t>Monkeys_1080p_30hz_q_27</t>
  </si>
  <si>
    <t>Monkeys_1080p_30hz_q_33</t>
  </si>
  <si>
    <t>Monkeys_1080p_30hz_q_37</t>
  </si>
  <si>
    <t>Monkeys_1080p_30hz_q_41</t>
  </si>
  <si>
    <t>Monkeys_1080p_60hz_q_29</t>
  </si>
  <si>
    <t>Monkeys_1080p_60hz_q_37</t>
  </si>
  <si>
    <t>Monkeys_1080p_60hz_q_43</t>
  </si>
  <si>
    <t>Monkeys_2160p_30hz_q_33</t>
  </si>
  <si>
    <t>Monkeys_2160p_30hz_q_39</t>
  </si>
  <si>
    <t>Monkeys_2160p_30hz_q_43</t>
  </si>
  <si>
    <t>Monkeys_2160p_30hz_q_49</t>
  </si>
  <si>
    <t>Monkeys_2160p_60hz_q_27</t>
  </si>
  <si>
    <t>Monkeys_2160p_60hz_q_35</t>
  </si>
  <si>
    <t>Monkeys_2160p_60hz_q_41</t>
  </si>
  <si>
    <t>Monkeys_2160p_60hz_q_45</t>
  </si>
  <si>
    <t>Monkeys_2160p_60hz_q_51</t>
  </si>
  <si>
    <t>Monkeys_540p_30hz_q_17</t>
  </si>
  <si>
    <t>Monkeys_540p_30hz_q_25</t>
  </si>
  <si>
    <t>Monkeys_540p_30hz_q_29</t>
  </si>
  <si>
    <t>Monkeys_540p_30hz_q_33</t>
  </si>
  <si>
    <t>Monkeys_540p_60hz_q_19</t>
  </si>
  <si>
    <t>Monkeys_540p_60hz_q_27</t>
  </si>
  <si>
    <t>Monkeys_540p_60hz_q_31</t>
  </si>
  <si>
    <t>Monkeys_540p_60hz_q_35</t>
  </si>
  <si>
    <t>Monkeys_720p_30hz_q_21</t>
  </si>
  <si>
    <t>Monkeys_720p_30hz_q_31</t>
  </si>
  <si>
    <t>Monkeys_720p_30hz_q_37</t>
  </si>
  <si>
    <t>Monkeys_720p_60hz_q_23</t>
  </si>
  <si>
    <t>Monkeys_720p_60hz_q_33</t>
  </si>
  <si>
    <t>Monkeys_720p_60hz_q_39</t>
  </si>
  <si>
    <t>Narrator_1080p_30hz_q_25</t>
  </si>
  <si>
    <t>Narrator_1080p_30hz_q_29</t>
  </si>
  <si>
    <t>Narrator_1080p_30hz_q_35</t>
  </si>
  <si>
    <t>Narrator_1080p_30hz_q_39</t>
  </si>
  <si>
    <t>Narrator_1080p_60hz_q_27</t>
  </si>
  <si>
    <t>Narrator_1080p_60hz_q_31</t>
  </si>
  <si>
    <t>Narrator_1080p_60hz_q_37</t>
  </si>
  <si>
    <t>Narrator_1080p_60hz_q_41</t>
  </si>
  <si>
    <t>Narrator_2160p_30hz_q_31</t>
  </si>
  <si>
    <t>Narrator_2160p_30hz_q_37</t>
  </si>
  <si>
    <t>Narrator_2160p_30hz_q_43</t>
  </si>
  <si>
    <t>Narrator_2160p_30hz_q_47</t>
  </si>
  <si>
    <t>Narrator_2160p_60hz_q_25</t>
  </si>
  <si>
    <t>Narrator_2160p_60hz_q_33</t>
  </si>
  <si>
    <t>Narrator_2160p_60hz_q_39</t>
  </si>
  <si>
    <t>Narrator_2160p_60hz_q_45</t>
  </si>
  <si>
    <t>Narrator_2160p_60hz_q_51</t>
  </si>
  <si>
    <t>Narrator_540p_30hz_q_17</t>
  </si>
  <si>
    <t>Narrator_540p_30hz_q_23</t>
  </si>
  <si>
    <t>Narrator_540p_30hz_q_33</t>
  </si>
  <si>
    <t>Narrator_540p_60hz_q_19</t>
  </si>
  <si>
    <t>Narrator_540p_60hz_q_25</t>
  </si>
  <si>
    <t>Narrator_540p_60hz_q_35</t>
  </si>
  <si>
    <t>Narrator_720p_30hz_q_21</t>
  </si>
  <si>
    <t>Narrator_720p_30hz_q_25</t>
  </si>
  <si>
    <t>Narrator_720p_30hz_q_31</t>
  </si>
  <si>
    <t>Narrator_720p_30hz_q_35</t>
  </si>
  <si>
    <t>Narrator_720p_60hz_q_23</t>
  </si>
  <si>
    <t>Narrator_720p_60hz_q_27</t>
  </si>
  <si>
    <t>Narrator_720p_60hz_q_33</t>
  </si>
  <si>
    <t>Narrator_720p_60hz_q_37</t>
  </si>
  <si>
    <t>Ready_1080p_120hz_q_31</t>
  </si>
  <si>
    <t>Ready_1080p_120hz_q_37</t>
  </si>
  <si>
    <t>Ready_1080p_120hz_q_43</t>
  </si>
  <si>
    <t>Ready_1080p_60hz_q_27</t>
  </si>
  <si>
    <t>Ready_1080p_60hz_q_33</t>
  </si>
  <si>
    <t>Ready_1080p_60hz_q_37</t>
  </si>
  <si>
    <t>Ready_1080p_60hz_q_41</t>
  </si>
  <si>
    <t>Ready_2160p_120hz_q_27</t>
  </si>
  <si>
    <t>Ready_2160p_120hz_q_37</t>
  </si>
  <si>
    <t>Ready_2160p_120hz_q_43</t>
  </si>
  <si>
    <t>Ready_2160p_120hz_q_47</t>
  </si>
  <si>
    <t>Ready_2160p_120hz_q_51</t>
  </si>
  <si>
    <t>Ready_2160p_60hz_q_35</t>
  </si>
  <si>
    <t>Ready_2160p_60hz_q_41</t>
  </si>
  <si>
    <t>Ready_2160p_60hz_q_45</t>
  </si>
  <si>
    <t>Ready_2160p_60hz_q_47</t>
  </si>
  <si>
    <t>Ready_540p_120hz_q_25</t>
  </si>
  <si>
    <t>Ready_540p_120hz_q_33</t>
  </si>
  <si>
    <t>Ready_540p_120hz_q_37</t>
  </si>
  <si>
    <t>Ready_540p_60hz_q_21</t>
  </si>
  <si>
    <t>Ready_540p_60hz_q_27</t>
  </si>
  <si>
    <t>Ready_540p_60hz_q_33</t>
  </si>
  <si>
    <t>Ready_720p_120hz_q_27</t>
  </si>
  <si>
    <t>Ready_720p_120hz_q_33</t>
  </si>
  <si>
    <t>Ready_720p_120hz_q_39</t>
  </si>
  <si>
    <t>Ready_720p_60hz_q_23</t>
  </si>
  <si>
    <t>Ready_720p_60hz_q_29</t>
  </si>
  <si>
    <t>Ready_720p_60hz_q_33</t>
  </si>
  <si>
    <t>Ready_720p_60hz_q_37</t>
  </si>
  <si>
    <t>Ritual_1080p_30hz_q_27</t>
  </si>
  <si>
    <t>Ritual_1080p_30hz_q_31</t>
  </si>
  <si>
    <t>Ritual_1080p_30hz_q_35</t>
  </si>
  <si>
    <t>Ritual_1080p_30hz_q_39</t>
  </si>
  <si>
    <t>Ritual_1080p_60hz_q_31</t>
  </si>
  <si>
    <t>Ritual_1080p_60hz_q_37</t>
  </si>
  <si>
    <t>Ritual_1080p_60hz_q_41</t>
  </si>
  <si>
    <t>Ritual_2160p_30hz_q_33</t>
  </si>
  <si>
    <t>Ritual_2160p_30hz_q_39</t>
  </si>
  <si>
    <t>Ritual_2160p_30hz_q_43</t>
  </si>
  <si>
    <t>Ritual_2160p_30hz_q_47</t>
  </si>
  <si>
    <t>Ritual_2160p_60hz_q_29</t>
  </si>
  <si>
    <t>Ritual_2160p_60hz_q_37</t>
  </si>
  <si>
    <t>Ritual_2160p_60hz_q_41</t>
  </si>
  <si>
    <t>Ritual_2160p_60hz_q_45</t>
  </si>
  <si>
    <t>Ritual_2160p_60hz_q_49</t>
  </si>
  <si>
    <t>Ritual_540p_30hz_q_21</t>
  </si>
  <si>
    <t>Ritual_540p_30hz_q_29</t>
  </si>
  <si>
    <t>Ritual_540p_30hz_q_33</t>
  </si>
  <si>
    <t>Ritual_540p_60hz_q_23</t>
  </si>
  <si>
    <t>Ritual_540p_60hz_q_31</t>
  </si>
  <si>
    <t>Ritual_540p_60hz_q_35</t>
  </si>
  <si>
    <t>Ritual_720p_30hz_q_23</t>
  </si>
  <si>
    <t>Ritual_720p_30hz_q_31</t>
  </si>
  <si>
    <t>Ritual_720p_30hz_q_35</t>
  </si>
  <si>
    <t>Ritual_720p_60hz_q_27</t>
  </si>
  <si>
    <t>Ritual_720p_60hz_q_33</t>
  </si>
  <si>
    <t>Ritual_720p_60hz_q_37</t>
  </si>
  <si>
    <t>SeaRock_1080p_30hz_q_25</t>
  </si>
  <si>
    <t>SeaRock_1080p_30hz_q_29</t>
  </si>
  <si>
    <t>SeaRock_1080p_30hz_q_35</t>
  </si>
  <si>
    <t>SeaRock_1080p_30hz_q_39</t>
  </si>
  <si>
    <t>SeaRock_1080p_60hz_q_27</t>
  </si>
  <si>
    <t>SeaRock_1080p_60hz_q_31</t>
  </si>
  <si>
    <t>SeaRock_1080p_60hz_q_37</t>
  </si>
  <si>
    <t>SeaRock_1080p_60hz_q_41</t>
  </si>
  <si>
    <t>SeaRock_2160p_30hz_q_31</t>
  </si>
  <si>
    <t>SeaRock_2160p_30hz_q_37</t>
  </si>
  <si>
    <t>SeaRock_2160p_30hz_q_43</t>
  </si>
  <si>
    <t>SeaRock_2160p_30hz_q_47</t>
  </si>
  <si>
    <t>SeaRock_2160p_60hz_q_27</t>
  </si>
  <si>
    <t>SeaRock_2160p_60hz_q_33</t>
  </si>
  <si>
    <t>SeaRock_2160p_60hz_q_39</t>
  </si>
  <si>
    <t>SeaRock_2160p_60hz_q_45</t>
  </si>
  <si>
    <t>SeaRock_2160p_60hz_q_51</t>
  </si>
  <si>
    <t>SeaRock_540p_30hz_q_17</t>
  </si>
  <si>
    <t>SeaRock_540p_30hz_q_23</t>
  </si>
  <si>
    <t>SeaRock_540p_30hz_q_33</t>
  </si>
  <si>
    <t>SeaRock_540p_60hz_q_19</t>
  </si>
  <si>
    <t>SeaRock_540p_60hz_q_25</t>
  </si>
  <si>
    <t>SeaRock_540p_60hz_q_33</t>
  </si>
  <si>
    <t>SeaRock_720p_30hz_q_21</t>
  </si>
  <si>
    <t>SeaRock_720p_30hz_q_25</t>
  </si>
  <si>
    <t>SeaRock_720p_30hz_q_31</t>
  </si>
  <si>
    <t>SeaRock_720p_30hz_q_35</t>
  </si>
  <si>
    <t>SeaRock_720p_60hz_q_23</t>
  </si>
  <si>
    <t>SeaRock_720p_60hz_q_27</t>
  </si>
  <si>
    <t>SeaRock_720p_60hz_q_33</t>
  </si>
  <si>
    <t>SeaRock_720p_60hz_q_37</t>
  </si>
  <si>
    <t>Toddler_1080p_30hz_q_29</t>
  </si>
  <si>
    <t>Toddler_1080p_30hz_q_33</t>
  </si>
  <si>
    <t>Toddler_1080p_30hz_q_37</t>
  </si>
  <si>
    <t>Toddler_1080p_30hz_q_41</t>
  </si>
  <si>
    <t>Toddler_1080p_60hz_q_33</t>
  </si>
  <si>
    <t>Toddler_1080p_60hz_q_37</t>
  </si>
  <si>
    <t>Toddler_1080p_60hz_q_43</t>
  </si>
  <si>
    <t>Toddler_2160p_30hz_q_35</t>
  </si>
  <si>
    <t>Toddler_2160p_30hz_q_39</t>
  </si>
  <si>
    <t>Toddler_2160p_30hz_q_43</t>
  </si>
  <si>
    <t>Toddler_2160p_30hz_q_47</t>
  </si>
  <si>
    <t>Toddler_2160p_60hz_q_35</t>
  </si>
  <si>
    <t>Toddler_2160p_60hz_q_39</t>
  </si>
  <si>
    <t>Toddler_2160p_60hz_q_43</t>
  </si>
  <si>
    <t>Toddler_2160p_60hz_q_47</t>
  </si>
  <si>
    <t>Toddler_2160p_60hz_q_51</t>
  </si>
  <si>
    <t>Toddler_540p_30hz_q_19</t>
  </si>
  <si>
    <t>Toddler_540p_30hz_q_25</t>
  </si>
  <si>
    <t>Toddler_540p_30hz_q_33</t>
  </si>
  <si>
    <t>Toddler_540p_60hz_q_25</t>
  </si>
  <si>
    <t>Toddler_540p_60hz_q_29</t>
  </si>
  <si>
    <t>Toddler_540p_60hz_q_37</t>
  </si>
  <si>
    <t>Toddler_720p_30hz_q_23</t>
  </si>
  <si>
    <t>Toddler_720p_30hz_q_29</t>
  </si>
  <si>
    <t>Toddler_720p_30hz_q_33</t>
  </si>
  <si>
    <t>Toddler_720p_30hz_q_37</t>
  </si>
  <si>
    <t>Toddler_720p_60hz_q_29</t>
  </si>
  <si>
    <t>Toddler_720p_60hz_q_33</t>
  </si>
  <si>
    <t>Toddler_720p_60hz_q_37</t>
  </si>
  <si>
    <t>Toddler_720p_60hz_q_39</t>
  </si>
  <si>
    <t>Tunnel_1080p_30hz_q_29</t>
  </si>
  <si>
    <t>Tunnel_1080p_30hz_q_33</t>
  </si>
  <si>
    <t>Tunnel_1080p_30hz_q_37</t>
  </si>
  <si>
    <t>Tunnel_1080p_30hz_q_41</t>
  </si>
  <si>
    <t>Tunnel_1080p_60hz_q_31</t>
  </si>
  <si>
    <t>Tunnel_1080p_60hz_q_35</t>
  </si>
  <si>
    <t>Tunnel_1080p_60hz_q_39</t>
  </si>
  <si>
    <t>Tunnel_1080p_60hz_q_43</t>
  </si>
  <si>
    <t>Tunnel_2160p_30hz_q_35</t>
  </si>
  <si>
    <t>Tunnel_2160p_30hz_q_39</t>
  </si>
  <si>
    <t>Tunnel_2160p_30hz_q_47</t>
  </si>
  <si>
    <t>Tunnel_2160p_60hz_q_27</t>
  </si>
  <si>
    <t>Tunnel_2160p_60hz_q_37</t>
  </si>
  <si>
    <t>Tunnel_2160p_60hz_q_41</t>
  </si>
  <si>
    <t>Tunnel_2160p_60hz_q_47</t>
  </si>
  <si>
    <t>Tunnel_2160p_60hz_q_51</t>
  </si>
  <si>
    <t>Tunnel_540p_30hz_q_23</t>
  </si>
  <si>
    <t>Tunnel_540p_30hz_q_27</t>
  </si>
  <si>
    <t>Tunnel_540p_30hz_q_33</t>
  </si>
  <si>
    <t>Tunnel_540p_60hz_q_25</t>
  </si>
  <si>
    <t>Tunnel_540p_60hz_q_29</t>
  </si>
  <si>
    <t>Tunnel_540p_60hz_q_35</t>
  </si>
  <si>
    <t>Tunnel_720p_30hz_q_25</t>
  </si>
  <si>
    <t>Tunnel_720p_30hz_q_29</t>
  </si>
  <si>
    <t>Tunnel_720p_30hz_q_37</t>
  </si>
  <si>
    <t>Tunnel_720p_60hz_q_27</t>
  </si>
  <si>
    <t>Tunnel_720p_60hz_q_31</t>
  </si>
  <si>
    <t>Tunnel_720p_60hz_q_39</t>
  </si>
  <si>
    <t>Yacht_1080p_120hz_q_33</t>
  </si>
  <si>
    <t>Yacht_1080p_120hz_q_37</t>
  </si>
  <si>
    <t>Yacht_1080p_120hz_q_43</t>
  </si>
  <si>
    <t>Yacht_1080p_60hz_q_29</t>
  </si>
  <si>
    <t>Yacht_1080p_60hz_q_35</t>
  </si>
  <si>
    <t>Yacht_1080p_60hz_q_41</t>
  </si>
  <si>
    <t>Yacht_2160p_120hz_q_31</t>
  </si>
  <si>
    <t>Yacht_2160p_120hz_q_39</t>
  </si>
  <si>
    <t>Yacht_2160p_120hz_q_43</t>
  </si>
  <si>
    <t>Yacht_2160p_120hz_q_47</t>
  </si>
  <si>
    <t>Yacht_2160p_120hz_q_51</t>
  </si>
  <si>
    <t>Yacht_2160p_60hz_q_37</t>
  </si>
  <si>
    <t>Yacht_2160p_60hz_q_41</t>
  </si>
  <si>
    <t>Yacht_2160p_60hz_q_45</t>
  </si>
  <si>
    <t>Yacht_2160p_60hz_q_49</t>
  </si>
  <si>
    <t>Yacht_540p_120hz_q_25</t>
  </si>
  <si>
    <t>Yacht_540p_120hz_q_31</t>
  </si>
  <si>
    <t>Yacht_540p_120hz_q_37</t>
  </si>
  <si>
    <t>Yacht_540p_60hz_q_23</t>
  </si>
  <si>
    <t>Yacht_540p_60hz_q_27</t>
  </si>
  <si>
    <t>Yacht_540p_60hz_q_35</t>
  </si>
  <si>
    <t>Yacht_720p_120hz_q_29</t>
  </si>
  <si>
    <t>Yacht_720p_120hz_q_33</t>
  </si>
  <si>
    <t>Yacht_720p_120hz_q_39</t>
  </si>
  <si>
    <t>Yacht_720p_60hz_q_25</t>
  </si>
  <si>
    <t>Yacht_720p_60hz_q_31</t>
  </si>
  <si>
    <t>Yacht_720p_60hz_q_37</t>
  </si>
  <si>
    <t>MIN err</t>
  </si>
  <si>
    <t>MAX err</t>
  </si>
  <si>
    <t>PLCC</t>
  </si>
  <si>
    <t>SRCC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</si>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</sst>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2" fontId="0" fillId="0" borderId="1" xfId="0" applyNumberFormat="1" applyBorder="1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Foglio1!$C$1</c:f>
              <c:strCache>
                <c:ptCount val="1"/>
                <c:pt idx="0">
                  <c:v>predicted MOS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Foglio1!$B$2:$B$438</c:f>
              <c:numCache>
                <c:formatCode>General</c:formatCode>
                <c:ptCount val="437"/>
                <c:pt idx="0">
                  <c:v>4.25</c:v>
                </c:pt>
                <c:pt idx="1">
                  <c:v>3.86</c:v>
                </c:pt>
                <c:pt idx="2">
                  <c:v>2.36</c:v>
                </c:pt>
                <c:pt idx="3">
                  <c:v>1.5</c:v>
                </c:pt>
                <c:pt idx="4">
                  <c:v>4.24</c:v>
                </c:pt>
                <c:pt idx="5">
                  <c:v>2.9</c:v>
                </c:pt>
                <c:pt idx="6">
                  <c:v>1.63</c:v>
                </c:pt>
                <c:pt idx="7">
                  <c:v>4.3600000000000003</c:v>
                </c:pt>
                <c:pt idx="8">
                  <c:v>3.98</c:v>
                </c:pt>
                <c:pt idx="9">
                  <c:v>3.29</c:v>
                </c:pt>
                <c:pt idx="10">
                  <c:v>2.0499999999999998</c:v>
                </c:pt>
                <c:pt idx="11">
                  <c:v>1.29</c:v>
                </c:pt>
                <c:pt idx="12">
                  <c:v>4.22</c:v>
                </c:pt>
                <c:pt idx="13">
                  <c:v>3.77</c:v>
                </c:pt>
                <c:pt idx="14">
                  <c:v>2.78</c:v>
                </c:pt>
                <c:pt idx="15">
                  <c:v>1.53</c:v>
                </c:pt>
                <c:pt idx="16">
                  <c:v>4.3899999999999997</c:v>
                </c:pt>
                <c:pt idx="17">
                  <c:v>3.88</c:v>
                </c:pt>
                <c:pt idx="18">
                  <c:v>2.63</c:v>
                </c:pt>
                <c:pt idx="19">
                  <c:v>1.75</c:v>
                </c:pt>
                <c:pt idx="20">
                  <c:v>4.18</c:v>
                </c:pt>
                <c:pt idx="21">
                  <c:v>3.04</c:v>
                </c:pt>
                <c:pt idx="22">
                  <c:v>2.37</c:v>
                </c:pt>
                <c:pt idx="23">
                  <c:v>4.26</c:v>
                </c:pt>
                <c:pt idx="24">
                  <c:v>3.61</c:v>
                </c:pt>
                <c:pt idx="25">
                  <c:v>2.2799999999999998</c:v>
                </c:pt>
                <c:pt idx="26">
                  <c:v>1.51</c:v>
                </c:pt>
                <c:pt idx="27">
                  <c:v>4.28</c:v>
                </c:pt>
                <c:pt idx="28">
                  <c:v>3.14</c:v>
                </c:pt>
                <c:pt idx="29">
                  <c:v>2.0699999999999998</c:v>
                </c:pt>
                <c:pt idx="30">
                  <c:v>3.92</c:v>
                </c:pt>
                <c:pt idx="31">
                  <c:v>3.82</c:v>
                </c:pt>
                <c:pt idx="32">
                  <c:v>1.88</c:v>
                </c:pt>
                <c:pt idx="33">
                  <c:v>4.25</c:v>
                </c:pt>
                <c:pt idx="34">
                  <c:v>3.53</c:v>
                </c:pt>
                <c:pt idx="35">
                  <c:v>1.59</c:v>
                </c:pt>
                <c:pt idx="36">
                  <c:v>3.86</c:v>
                </c:pt>
                <c:pt idx="37">
                  <c:v>3.55</c:v>
                </c:pt>
                <c:pt idx="38">
                  <c:v>1.81</c:v>
                </c:pt>
                <c:pt idx="39">
                  <c:v>1.28</c:v>
                </c:pt>
                <c:pt idx="40">
                  <c:v>4.5999999999999996</c:v>
                </c:pt>
                <c:pt idx="41">
                  <c:v>4.04</c:v>
                </c:pt>
                <c:pt idx="42">
                  <c:v>2.58</c:v>
                </c:pt>
                <c:pt idx="43">
                  <c:v>1.35</c:v>
                </c:pt>
                <c:pt idx="44">
                  <c:v>1.19</c:v>
                </c:pt>
                <c:pt idx="45">
                  <c:v>3.44</c:v>
                </c:pt>
                <c:pt idx="46">
                  <c:v>3.24</c:v>
                </c:pt>
                <c:pt idx="47">
                  <c:v>2.46</c:v>
                </c:pt>
                <c:pt idx="48">
                  <c:v>3.73</c:v>
                </c:pt>
                <c:pt idx="49">
                  <c:v>3.27</c:v>
                </c:pt>
                <c:pt idx="50">
                  <c:v>2.17</c:v>
                </c:pt>
                <c:pt idx="51">
                  <c:v>4.0999999999999996</c:v>
                </c:pt>
                <c:pt idx="52">
                  <c:v>3.92</c:v>
                </c:pt>
                <c:pt idx="53">
                  <c:v>2.54</c:v>
                </c:pt>
                <c:pt idx="54">
                  <c:v>4.2699999999999996</c:v>
                </c:pt>
                <c:pt idx="55">
                  <c:v>3.71</c:v>
                </c:pt>
                <c:pt idx="56">
                  <c:v>2.0699999999999998</c:v>
                </c:pt>
                <c:pt idx="57">
                  <c:v>4.2</c:v>
                </c:pt>
                <c:pt idx="58">
                  <c:v>2.98</c:v>
                </c:pt>
                <c:pt idx="59">
                  <c:v>2.13</c:v>
                </c:pt>
                <c:pt idx="60">
                  <c:v>4.3</c:v>
                </c:pt>
                <c:pt idx="61">
                  <c:v>2.31</c:v>
                </c:pt>
                <c:pt idx="62">
                  <c:v>1.76</c:v>
                </c:pt>
                <c:pt idx="63">
                  <c:v>4.16</c:v>
                </c:pt>
                <c:pt idx="64">
                  <c:v>2.44</c:v>
                </c:pt>
                <c:pt idx="65">
                  <c:v>1.72</c:v>
                </c:pt>
                <c:pt idx="66">
                  <c:v>4.6100000000000003</c:v>
                </c:pt>
                <c:pt idx="67">
                  <c:v>4</c:v>
                </c:pt>
                <c:pt idx="68">
                  <c:v>2.41</c:v>
                </c:pt>
                <c:pt idx="69">
                  <c:v>1.67</c:v>
                </c:pt>
                <c:pt idx="70">
                  <c:v>1.1499999999999999</c:v>
                </c:pt>
                <c:pt idx="71">
                  <c:v>4.3899999999999997</c:v>
                </c:pt>
                <c:pt idx="72">
                  <c:v>3.96</c:v>
                </c:pt>
                <c:pt idx="73">
                  <c:v>2.93</c:v>
                </c:pt>
                <c:pt idx="74">
                  <c:v>4.05</c:v>
                </c:pt>
                <c:pt idx="75">
                  <c:v>3.43</c:v>
                </c:pt>
                <c:pt idx="76">
                  <c:v>2.8</c:v>
                </c:pt>
                <c:pt idx="77">
                  <c:v>4.1399999999999997</c:v>
                </c:pt>
                <c:pt idx="78">
                  <c:v>3.5</c:v>
                </c:pt>
                <c:pt idx="79">
                  <c:v>2.85</c:v>
                </c:pt>
                <c:pt idx="80">
                  <c:v>4.34</c:v>
                </c:pt>
                <c:pt idx="81">
                  <c:v>3.51</c:v>
                </c:pt>
                <c:pt idx="82">
                  <c:v>2.4700000000000002</c:v>
                </c:pt>
                <c:pt idx="83">
                  <c:v>4.5</c:v>
                </c:pt>
                <c:pt idx="84">
                  <c:v>4.16</c:v>
                </c:pt>
                <c:pt idx="85">
                  <c:v>2.94</c:v>
                </c:pt>
                <c:pt idx="86">
                  <c:v>1.61</c:v>
                </c:pt>
                <c:pt idx="87">
                  <c:v>4.6100000000000003</c:v>
                </c:pt>
                <c:pt idx="88">
                  <c:v>4.4000000000000004</c:v>
                </c:pt>
                <c:pt idx="89">
                  <c:v>2.19</c:v>
                </c:pt>
                <c:pt idx="90">
                  <c:v>1.33</c:v>
                </c:pt>
                <c:pt idx="91">
                  <c:v>4.5199999999999996</c:v>
                </c:pt>
                <c:pt idx="92">
                  <c:v>4.2699999999999996</c:v>
                </c:pt>
                <c:pt idx="93">
                  <c:v>1.86</c:v>
                </c:pt>
                <c:pt idx="94">
                  <c:v>1.28</c:v>
                </c:pt>
                <c:pt idx="95">
                  <c:v>4.7300000000000004</c:v>
                </c:pt>
                <c:pt idx="96">
                  <c:v>4.67</c:v>
                </c:pt>
                <c:pt idx="97">
                  <c:v>4.0999999999999996</c:v>
                </c:pt>
                <c:pt idx="98">
                  <c:v>1.47</c:v>
                </c:pt>
                <c:pt idx="99">
                  <c:v>1.1599999999999999</c:v>
                </c:pt>
                <c:pt idx="100">
                  <c:v>4.07</c:v>
                </c:pt>
                <c:pt idx="101">
                  <c:v>3.76</c:v>
                </c:pt>
                <c:pt idx="102">
                  <c:v>2.17</c:v>
                </c:pt>
                <c:pt idx="103">
                  <c:v>3.86</c:v>
                </c:pt>
                <c:pt idx="104">
                  <c:v>3.6</c:v>
                </c:pt>
                <c:pt idx="105">
                  <c:v>1.56</c:v>
                </c:pt>
                <c:pt idx="106">
                  <c:v>4.32</c:v>
                </c:pt>
                <c:pt idx="107">
                  <c:v>4.0199999999999996</c:v>
                </c:pt>
                <c:pt idx="108">
                  <c:v>2.94</c:v>
                </c:pt>
                <c:pt idx="109">
                  <c:v>1.74</c:v>
                </c:pt>
                <c:pt idx="110">
                  <c:v>4.55</c:v>
                </c:pt>
                <c:pt idx="111">
                  <c:v>4.1500000000000004</c:v>
                </c:pt>
                <c:pt idx="112">
                  <c:v>2.14</c:v>
                </c:pt>
                <c:pt idx="113">
                  <c:v>1.44</c:v>
                </c:pt>
                <c:pt idx="114">
                  <c:v>4.1100000000000003</c:v>
                </c:pt>
                <c:pt idx="115">
                  <c:v>3.96</c:v>
                </c:pt>
                <c:pt idx="116">
                  <c:v>3.28</c:v>
                </c:pt>
                <c:pt idx="117">
                  <c:v>1.68</c:v>
                </c:pt>
                <c:pt idx="118">
                  <c:v>4.5599999999999996</c:v>
                </c:pt>
                <c:pt idx="119">
                  <c:v>4.32</c:v>
                </c:pt>
                <c:pt idx="120">
                  <c:v>3.57</c:v>
                </c:pt>
                <c:pt idx="121">
                  <c:v>1.62</c:v>
                </c:pt>
                <c:pt idx="122">
                  <c:v>4.3499999999999996</c:v>
                </c:pt>
                <c:pt idx="123">
                  <c:v>3.74</c:v>
                </c:pt>
                <c:pt idx="124">
                  <c:v>2.9</c:v>
                </c:pt>
                <c:pt idx="125">
                  <c:v>1.56</c:v>
                </c:pt>
                <c:pt idx="126">
                  <c:v>4.68</c:v>
                </c:pt>
                <c:pt idx="127">
                  <c:v>4.62</c:v>
                </c:pt>
                <c:pt idx="128">
                  <c:v>4.13</c:v>
                </c:pt>
                <c:pt idx="129">
                  <c:v>2.92</c:v>
                </c:pt>
                <c:pt idx="130">
                  <c:v>1.26</c:v>
                </c:pt>
                <c:pt idx="131">
                  <c:v>3.47</c:v>
                </c:pt>
                <c:pt idx="132">
                  <c:v>3.27</c:v>
                </c:pt>
                <c:pt idx="133">
                  <c:v>1.89</c:v>
                </c:pt>
                <c:pt idx="134">
                  <c:v>3.95</c:v>
                </c:pt>
                <c:pt idx="135">
                  <c:v>3.36</c:v>
                </c:pt>
                <c:pt idx="136">
                  <c:v>1.79</c:v>
                </c:pt>
                <c:pt idx="137">
                  <c:v>4.16</c:v>
                </c:pt>
                <c:pt idx="138">
                  <c:v>3.8</c:v>
                </c:pt>
                <c:pt idx="139">
                  <c:v>3.31</c:v>
                </c:pt>
                <c:pt idx="140">
                  <c:v>1.79</c:v>
                </c:pt>
                <c:pt idx="141">
                  <c:v>4.43</c:v>
                </c:pt>
                <c:pt idx="142">
                  <c:v>4.17</c:v>
                </c:pt>
                <c:pt idx="143">
                  <c:v>3.08</c:v>
                </c:pt>
                <c:pt idx="144">
                  <c:v>1.59</c:v>
                </c:pt>
                <c:pt idx="145">
                  <c:v>4.49</c:v>
                </c:pt>
                <c:pt idx="146">
                  <c:v>4.34</c:v>
                </c:pt>
                <c:pt idx="147">
                  <c:v>3.22</c:v>
                </c:pt>
                <c:pt idx="148">
                  <c:v>2</c:v>
                </c:pt>
                <c:pt idx="149">
                  <c:v>4.4400000000000004</c:v>
                </c:pt>
                <c:pt idx="150">
                  <c:v>4.41</c:v>
                </c:pt>
                <c:pt idx="151">
                  <c:v>3.64</c:v>
                </c:pt>
                <c:pt idx="152">
                  <c:v>2.91</c:v>
                </c:pt>
                <c:pt idx="153">
                  <c:v>4.53</c:v>
                </c:pt>
                <c:pt idx="154">
                  <c:v>4.49</c:v>
                </c:pt>
                <c:pt idx="155">
                  <c:v>3.84</c:v>
                </c:pt>
                <c:pt idx="156">
                  <c:v>2.0299999999999998</c:v>
                </c:pt>
                <c:pt idx="157">
                  <c:v>1.18</c:v>
                </c:pt>
                <c:pt idx="158">
                  <c:v>4.26</c:v>
                </c:pt>
                <c:pt idx="159">
                  <c:v>4.1399999999999997</c:v>
                </c:pt>
                <c:pt idx="160">
                  <c:v>3.04</c:v>
                </c:pt>
                <c:pt idx="161">
                  <c:v>1.55</c:v>
                </c:pt>
                <c:pt idx="162">
                  <c:v>3.96</c:v>
                </c:pt>
                <c:pt idx="163">
                  <c:v>3.59</c:v>
                </c:pt>
                <c:pt idx="164">
                  <c:v>2.82</c:v>
                </c:pt>
                <c:pt idx="165">
                  <c:v>3.74</c:v>
                </c:pt>
                <c:pt idx="166">
                  <c:v>3.58</c:v>
                </c:pt>
                <c:pt idx="167">
                  <c:v>3.12</c:v>
                </c:pt>
                <c:pt idx="168">
                  <c:v>4.3499999999999996</c:v>
                </c:pt>
                <c:pt idx="169">
                  <c:v>3.93</c:v>
                </c:pt>
                <c:pt idx="170">
                  <c:v>3.1</c:v>
                </c:pt>
                <c:pt idx="171">
                  <c:v>4.24</c:v>
                </c:pt>
                <c:pt idx="172">
                  <c:v>3.9</c:v>
                </c:pt>
                <c:pt idx="173">
                  <c:v>3.36</c:v>
                </c:pt>
                <c:pt idx="174">
                  <c:v>4.3099999999999996</c:v>
                </c:pt>
                <c:pt idx="175">
                  <c:v>4.09</c:v>
                </c:pt>
                <c:pt idx="176">
                  <c:v>3.54</c:v>
                </c:pt>
                <c:pt idx="177">
                  <c:v>2.29</c:v>
                </c:pt>
                <c:pt idx="178">
                  <c:v>4.33</c:v>
                </c:pt>
                <c:pt idx="179">
                  <c:v>3.53</c:v>
                </c:pt>
                <c:pt idx="180">
                  <c:v>2.92</c:v>
                </c:pt>
                <c:pt idx="181">
                  <c:v>4.49</c:v>
                </c:pt>
                <c:pt idx="182">
                  <c:v>4.37</c:v>
                </c:pt>
                <c:pt idx="183">
                  <c:v>3.81</c:v>
                </c:pt>
                <c:pt idx="184">
                  <c:v>1.93</c:v>
                </c:pt>
                <c:pt idx="185">
                  <c:v>1.4</c:v>
                </c:pt>
                <c:pt idx="186">
                  <c:v>4.2</c:v>
                </c:pt>
                <c:pt idx="187">
                  <c:v>3.63</c:v>
                </c:pt>
                <c:pt idx="188">
                  <c:v>2.21</c:v>
                </c:pt>
                <c:pt idx="189">
                  <c:v>1.52</c:v>
                </c:pt>
                <c:pt idx="190">
                  <c:v>3.96</c:v>
                </c:pt>
                <c:pt idx="191">
                  <c:v>3.43</c:v>
                </c:pt>
                <c:pt idx="192">
                  <c:v>2.74</c:v>
                </c:pt>
                <c:pt idx="193">
                  <c:v>3.72</c:v>
                </c:pt>
                <c:pt idx="194">
                  <c:v>3.62</c:v>
                </c:pt>
                <c:pt idx="195">
                  <c:v>2.95</c:v>
                </c:pt>
                <c:pt idx="196">
                  <c:v>4.24</c:v>
                </c:pt>
                <c:pt idx="197">
                  <c:v>4.0599999999999996</c:v>
                </c:pt>
                <c:pt idx="198">
                  <c:v>3.56</c:v>
                </c:pt>
                <c:pt idx="199">
                  <c:v>2.73</c:v>
                </c:pt>
                <c:pt idx="200">
                  <c:v>4.05</c:v>
                </c:pt>
                <c:pt idx="201">
                  <c:v>3.54</c:v>
                </c:pt>
                <c:pt idx="202">
                  <c:v>3.17</c:v>
                </c:pt>
                <c:pt idx="203">
                  <c:v>4.47</c:v>
                </c:pt>
                <c:pt idx="204">
                  <c:v>3.41</c:v>
                </c:pt>
                <c:pt idx="205">
                  <c:v>2.14</c:v>
                </c:pt>
                <c:pt idx="206">
                  <c:v>1.4</c:v>
                </c:pt>
                <c:pt idx="207">
                  <c:v>4.47</c:v>
                </c:pt>
                <c:pt idx="208">
                  <c:v>2.5</c:v>
                </c:pt>
                <c:pt idx="209">
                  <c:v>1.28</c:v>
                </c:pt>
                <c:pt idx="210">
                  <c:v>4.51</c:v>
                </c:pt>
                <c:pt idx="211">
                  <c:v>3.31</c:v>
                </c:pt>
                <c:pt idx="212">
                  <c:v>1.79</c:v>
                </c:pt>
                <c:pt idx="213">
                  <c:v>1.19</c:v>
                </c:pt>
                <c:pt idx="214">
                  <c:v>4.74</c:v>
                </c:pt>
                <c:pt idx="215">
                  <c:v>4.58</c:v>
                </c:pt>
                <c:pt idx="216">
                  <c:v>3.12</c:v>
                </c:pt>
                <c:pt idx="217">
                  <c:v>1.66</c:v>
                </c:pt>
                <c:pt idx="218">
                  <c:v>1.19</c:v>
                </c:pt>
                <c:pt idx="219">
                  <c:v>4.28</c:v>
                </c:pt>
                <c:pt idx="220">
                  <c:v>3.59</c:v>
                </c:pt>
                <c:pt idx="221">
                  <c:v>2.56</c:v>
                </c:pt>
                <c:pt idx="222">
                  <c:v>1.45</c:v>
                </c:pt>
                <c:pt idx="223">
                  <c:v>4.2699999999999996</c:v>
                </c:pt>
                <c:pt idx="224">
                  <c:v>2.98</c:v>
                </c:pt>
                <c:pt idx="225">
                  <c:v>1.76</c:v>
                </c:pt>
                <c:pt idx="226">
                  <c:v>1.48</c:v>
                </c:pt>
                <c:pt idx="227">
                  <c:v>4.45</c:v>
                </c:pt>
                <c:pt idx="228">
                  <c:v>2.72</c:v>
                </c:pt>
                <c:pt idx="229">
                  <c:v>1.46</c:v>
                </c:pt>
                <c:pt idx="230">
                  <c:v>4.43</c:v>
                </c:pt>
                <c:pt idx="231">
                  <c:v>2.14</c:v>
                </c:pt>
                <c:pt idx="232">
                  <c:v>1.29</c:v>
                </c:pt>
                <c:pt idx="233">
                  <c:v>4.2300000000000004</c:v>
                </c:pt>
                <c:pt idx="234">
                  <c:v>4</c:v>
                </c:pt>
                <c:pt idx="235">
                  <c:v>2.34</c:v>
                </c:pt>
                <c:pt idx="236">
                  <c:v>1.65</c:v>
                </c:pt>
                <c:pt idx="237">
                  <c:v>4.3099999999999996</c:v>
                </c:pt>
                <c:pt idx="238">
                  <c:v>3.57</c:v>
                </c:pt>
                <c:pt idx="239">
                  <c:v>1.87</c:v>
                </c:pt>
                <c:pt idx="240">
                  <c:v>1.41</c:v>
                </c:pt>
                <c:pt idx="241">
                  <c:v>4.29</c:v>
                </c:pt>
                <c:pt idx="242">
                  <c:v>3.58</c:v>
                </c:pt>
                <c:pt idx="243">
                  <c:v>1.76</c:v>
                </c:pt>
                <c:pt idx="244">
                  <c:v>1.32</c:v>
                </c:pt>
                <c:pt idx="245">
                  <c:v>4.55</c:v>
                </c:pt>
                <c:pt idx="246">
                  <c:v>4.2699999999999996</c:v>
                </c:pt>
                <c:pt idx="247">
                  <c:v>2.52</c:v>
                </c:pt>
                <c:pt idx="248">
                  <c:v>1.53</c:v>
                </c:pt>
                <c:pt idx="249">
                  <c:v>1.21</c:v>
                </c:pt>
                <c:pt idx="250">
                  <c:v>3.81</c:v>
                </c:pt>
                <c:pt idx="251">
                  <c:v>3.03</c:v>
                </c:pt>
                <c:pt idx="252">
                  <c:v>1.78</c:v>
                </c:pt>
                <c:pt idx="253">
                  <c:v>3.72</c:v>
                </c:pt>
                <c:pt idx="254">
                  <c:v>3.04</c:v>
                </c:pt>
                <c:pt idx="255">
                  <c:v>1.44</c:v>
                </c:pt>
                <c:pt idx="256">
                  <c:v>4.04</c:v>
                </c:pt>
                <c:pt idx="257">
                  <c:v>3.7</c:v>
                </c:pt>
                <c:pt idx="258">
                  <c:v>2.48</c:v>
                </c:pt>
                <c:pt idx="259">
                  <c:v>1.75</c:v>
                </c:pt>
                <c:pt idx="260">
                  <c:v>4.08</c:v>
                </c:pt>
                <c:pt idx="261">
                  <c:v>3.6</c:v>
                </c:pt>
                <c:pt idx="262">
                  <c:v>2.06</c:v>
                </c:pt>
                <c:pt idx="263">
                  <c:v>1.56</c:v>
                </c:pt>
                <c:pt idx="264">
                  <c:v>4.47</c:v>
                </c:pt>
                <c:pt idx="265">
                  <c:v>4</c:v>
                </c:pt>
                <c:pt idx="266">
                  <c:v>2.13</c:v>
                </c:pt>
                <c:pt idx="267">
                  <c:v>4.46</c:v>
                </c:pt>
                <c:pt idx="268">
                  <c:v>4.0999999999999996</c:v>
                </c:pt>
                <c:pt idx="269">
                  <c:v>3.82</c:v>
                </c:pt>
                <c:pt idx="270">
                  <c:v>2.65</c:v>
                </c:pt>
                <c:pt idx="271">
                  <c:v>4.6900000000000004</c:v>
                </c:pt>
                <c:pt idx="272">
                  <c:v>4.5599999999999996</c:v>
                </c:pt>
                <c:pt idx="273">
                  <c:v>3.98</c:v>
                </c:pt>
                <c:pt idx="274">
                  <c:v>2.2799999999999998</c:v>
                </c:pt>
                <c:pt idx="275">
                  <c:v>1.41</c:v>
                </c:pt>
                <c:pt idx="276">
                  <c:v>4.42</c:v>
                </c:pt>
                <c:pt idx="277">
                  <c:v>3.94</c:v>
                </c:pt>
                <c:pt idx="278">
                  <c:v>2.71</c:v>
                </c:pt>
                <c:pt idx="279">
                  <c:v>1.89</c:v>
                </c:pt>
                <c:pt idx="280">
                  <c:v>4.1500000000000004</c:v>
                </c:pt>
                <c:pt idx="281">
                  <c:v>3.16</c:v>
                </c:pt>
                <c:pt idx="282">
                  <c:v>1.96</c:v>
                </c:pt>
                <c:pt idx="283">
                  <c:v>4.08</c:v>
                </c:pt>
                <c:pt idx="284">
                  <c:v>3.4</c:v>
                </c:pt>
                <c:pt idx="285">
                  <c:v>2.57</c:v>
                </c:pt>
                <c:pt idx="286">
                  <c:v>4.33</c:v>
                </c:pt>
                <c:pt idx="287">
                  <c:v>4.09</c:v>
                </c:pt>
                <c:pt idx="288">
                  <c:v>2.6</c:v>
                </c:pt>
                <c:pt idx="289">
                  <c:v>4.3099999999999996</c:v>
                </c:pt>
                <c:pt idx="290">
                  <c:v>4.09</c:v>
                </c:pt>
                <c:pt idx="291">
                  <c:v>3.21</c:v>
                </c:pt>
                <c:pt idx="292">
                  <c:v>2.64</c:v>
                </c:pt>
                <c:pt idx="293">
                  <c:v>4.01</c:v>
                </c:pt>
                <c:pt idx="294">
                  <c:v>3.52</c:v>
                </c:pt>
                <c:pt idx="295">
                  <c:v>2.71</c:v>
                </c:pt>
                <c:pt idx="296">
                  <c:v>1.81</c:v>
                </c:pt>
                <c:pt idx="297">
                  <c:v>3.84</c:v>
                </c:pt>
                <c:pt idx="298">
                  <c:v>2.57</c:v>
                </c:pt>
                <c:pt idx="299">
                  <c:v>1.66</c:v>
                </c:pt>
                <c:pt idx="300">
                  <c:v>3.96</c:v>
                </c:pt>
                <c:pt idx="301">
                  <c:v>2.72</c:v>
                </c:pt>
                <c:pt idx="302">
                  <c:v>1.99</c:v>
                </c:pt>
                <c:pt idx="303">
                  <c:v>1.39</c:v>
                </c:pt>
                <c:pt idx="304">
                  <c:v>4.59</c:v>
                </c:pt>
                <c:pt idx="305">
                  <c:v>4.05</c:v>
                </c:pt>
                <c:pt idx="306">
                  <c:v>3.02</c:v>
                </c:pt>
                <c:pt idx="307">
                  <c:v>1.85</c:v>
                </c:pt>
                <c:pt idx="308">
                  <c:v>1.26</c:v>
                </c:pt>
                <c:pt idx="309">
                  <c:v>3.61</c:v>
                </c:pt>
                <c:pt idx="310">
                  <c:v>2.4</c:v>
                </c:pt>
                <c:pt idx="311">
                  <c:v>1.98</c:v>
                </c:pt>
                <c:pt idx="312">
                  <c:v>3.73</c:v>
                </c:pt>
                <c:pt idx="313">
                  <c:v>2.25</c:v>
                </c:pt>
                <c:pt idx="314">
                  <c:v>1.61</c:v>
                </c:pt>
                <c:pt idx="315">
                  <c:v>3.88</c:v>
                </c:pt>
                <c:pt idx="316">
                  <c:v>2.82</c:v>
                </c:pt>
                <c:pt idx="317">
                  <c:v>1.81</c:v>
                </c:pt>
                <c:pt idx="318">
                  <c:v>3.89</c:v>
                </c:pt>
                <c:pt idx="319">
                  <c:v>2.63</c:v>
                </c:pt>
                <c:pt idx="320">
                  <c:v>1.68</c:v>
                </c:pt>
                <c:pt idx="321">
                  <c:v>4</c:v>
                </c:pt>
                <c:pt idx="322">
                  <c:v>3.61</c:v>
                </c:pt>
                <c:pt idx="323">
                  <c:v>2.06</c:v>
                </c:pt>
                <c:pt idx="324">
                  <c:v>1.39</c:v>
                </c:pt>
                <c:pt idx="325">
                  <c:v>4.3</c:v>
                </c:pt>
                <c:pt idx="326">
                  <c:v>3.14</c:v>
                </c:pt>
                <c:pt idx="327">
                  <c:v>1.74</c:v>
                </c:pt>
                <c:pt idx="328">
                  <c:v>1.23</c:v>
                </c:pt>
                <c:pt idx="329">
                  <c:v>4.2</c:v>
                </c:pt>
                <c:pt idx="330">
                  <c:v>3.1</c:v>
                </c:pt>
                <c:pt idx="331">
                  <c:v>1.58</c:v>
                </c:pt>
                <c:pt idx="332">
                  <c:v>1.2</c:v>
                </c:pt>
                <c:pt idx="333">
                  <c:v>4.63</c:v>
                </c:pt>
                <c:pt idx="334">
                  <c:v>4.26</c:v>
                </c:pt>
                <c:pt idx="335">
                  <c:v>2.78</c:v>
                </c:pt>
                <c:pt idx="336">
                  <c:v>1.4</c:v>
                </c:pt>
                <c:pt idx="337">
                  <c:v>1.1499999999999999</c:v>
                </c:pt>
                <c:pt idx="338">
                  <c:v>4.07</c:v>
                </c:pt>
                <c:pt idx="339">
                  <c:v>3.62</c:v>
                </c:pt>
                <c:pt idx="340">
                  <c:v>1.38</c:v>
                </c:pt>
                <c:pt idx="341">
                  <c:v>4.26</c:v>
                </c:pt>
                <c:pt idx="342">
                  <c:v>3.03</c:v>
                </c:pt>
                <c:pt idx="343">
                  <c:v>1.35</c:v>
                </c:pt>
                <c:pt idx="344">
                  <c:v>4.12</c:v>
                </c:pt>
                <c:pt idx="345">
                  <c:v>3.62</c:v>
                </c:pt>
                <c:pt idx="346">
                  <c:v>2.0099999999999998</c:v>
                </c:pt>
                <c:pt idx="347">
                  <c:v>1.41</c:v>
                </c:pt>
                <c:pt idx="348">
                  <c:v>4.29</c:v>
                </c:pt>
                <c:pt idx="349">
                  <c:v>3.44</c:v>
                </c:pt>
                <c:pt idx="350">
                  <c:v>1.61</c:v>
                </c:pt>
                <c:pt idx="351">
                  <c:v>1.25</c:v>
                </c:pt>
                <c:pt idx="352">
                  <c:v>3.88</c:v>
                </c:pt>
                <c:pt idx="353">
                  <c:v>3.32</c:v>
                </c:pt>
                <c:pt idx="354">
                  <c:v>1.97</c:v>
                </c:pt>
                <c:pt idx="355">
                  <c:v>1.4</c:v>
                </c:pt>
                <c:pt idx="356">
                  <c:v>3.81</c:v>
                </c:pt>
                <c:pt idx="357">
                  <c:v>2.52</c:v>
                </c:pt>
                <c:pt idx="358">
                  <c:v>1.26</c:v>
                </c:pt>
                <c:pt idx="359">
                  <c:v>3.87</c:v>
                </c:pt>
                <c:pt idx="360">
                  <c:v>2.99</c:v>
                </c:pt>
                <c:pt idx="361">
                  <c:v>2.0299999999999998</c:v>
                </c:pt>
                <c:pt idx="362">
                  <c:v>1.29</c:v>
                </c:pt>
                <c:pt idx="363">
                  <c:v>4.32</c:v>
                </c:pt>
                <c:pt idx="364">
                  <c:v>4.24</c:v>
                </c:pt>
                <c:pt idx="365">
                  <c:v>2.88</c:v>
                </c:pt>
                <c:pt idx="366">
                  <c:v>1.52</c:v>
                </c:pt>
                <c:pt idx="367">
                  <c:v>1.17</c:v>
                </c:pt>
                <c:pt idx="368">
                  <c:v>2.96</c:v>
                </c:pt>
                <c:pt idx="369">
                  <c:v>2.57</c:v>
                </c:pt>
                <c:pt idx="370">
                  <c:v>1.42</c:v>
                </c:pt>
                <c:pt idx="371">
                  <c:v>3.41</c:v>
                </c:pt>
                <c:pt idx="372">
                  <c:v>2.5499999999999998</c:v>
                </c:pt>
                <c:pt idx="373">
                  <c:v>1.22</c:v>
                </c:pt>
                <c:pt idx="374">
                  <c:v>3.64</c:v>
                </c:pt>
                <c:pt idx="375">
                  <c:v>3.02</c:v>
                </c:pt>
                <c:pt idx="376">
                  <c:v>1.9</c:v>
                </c:pt>
                <c:pt idx="377">
                  <c:v>1.44</c:v>
                </c:pt>
                <c:pt idx="378">
                  <c:v>3.64</c:v>
                </c:pt>
                <c:pt idx="379">
                  <c:v>2.46</c:v>
                </c:pt>
                <c:pt idx="380">
                  <c:v>1.42</c:v>
                </c:pt>
                <c:pt idx="381">
                  <c:v>1.3</c:v>
                </c:pt>
                <c:pt idx="382">
                  <c:v>3.97</c:v>
                </c:pt>
                <c:pt idx="383">
                  <c:v>3.14</c:v>
                </c:pt>
                <c:pt idx="384">
                  <c:v>2.77</c:v>
                </c:pt>
                <c:pt idx="385">
                  <c:v>1.58</c:v>
                </c:pt>
                <c:pt idx="386">
                  <c:v>4.34</c:v>
                </c:pt>
                <c:pt idx="387">
                  <c:v>3.79</c:v>
                </c:pt>
                <c:pt idx="388">
                  <c:v>2.19</c:v>
                </c:pt>
                <c:pt idx="389">
                  <c:v>1.47</c:v>
                </c:pt>
                <c:pt idx="390">
                  <c:v>4.01</c:v>
                </c:pt>
                <c:pt idx="391">
                  <c:v>3.46</c:v>
                </c:pt>
                <c:pt idx="392">
                  <c:v>1.71</c:v>
                </c:pt>
                <c:pt idx="393">
                  <c:v>4.55</c:v>
                </c:pt>
                <c:pt idx="394">
                  <c:v>4.2300000000000004</c:v>
                </c:pt>
                <c:pt idx="395">
                  <c:v>3.32</c:v>
                </c:pt>
                <c:pt idx="396">
                  <c:v>1.69</c:v>
                </c:pt>
                <c:pt idx="397">
                  <c:v>1.31</c:v>
                </c:pt>
                <c:pt idx="398">
                  <c:v>2.76</c:v>
                </c:pt>
                <c:pt idx="399">
                  <c:v>2.31</c:v>
                </c:pt>
                <c:pt idx="400">
                  <c:v>1.75</c:v>
                </c:pt>
                <c:pt idx="401">
                  <c:v>2.85</c:v>
                </c:pt>
                <c:pt idx="402">
                  <c:v>2.14</c:v>
                </c:pt>
                <c:pt idx="403">
                  <c:v>1.5</c:v>
                </c:pt>
                <c:pt idx="404">
                  <c:v>3.46</c:v>
                </c:pt>
                <c:pt idx="405">
                  <c:v>3.22</c:v>
                </c:pt>
                <c:pt idx="406">
                  <c:v>1.81</c:v>
                </c:pt>
                <c:pt idx="407">
                  <c:v>3.6</c:v>
                </c:pt>
                <c:pt idx="408">
                  <c:v>2.71</c:v>
                </c:pt>
                <c:pt idx="409">
                  <c:v>1.62</c:v>
                </c:pt>
                <c:pt idx="410">
                  <c:v>4.22</c:v>
                </c:pt>
                <c:pt idx="411">
                  <c:v>3.59</c:v>
                </c:pt>
                <c:pt idx="412">
                  <c:v>1.8</c:v>
                </c:pt>
                <c:pt idx="413">
                  <c:v>4.13</c:v>
                </c:pt>
                <c:pt idx="414">
                  <c:v>3.95</c:v>
                </c:pt>
                <c:pt idx="415">
                  <c:v>2.4300000000000002</c:v>
                </c:pt>
                <c:pt idx="416">
                  <c:v>4.55</c:v>
                </c:pt>
                <c:pt idx="417">
                  <c:v>4.32</c:v>
                </c:pt>
                <c:pt idx="418">
                  <c:v>3.28</c:v>
                </c:pt>
                <c:pt idx="419">
                  <c:v>2</c:v>
                </c:pt>
                <c:pt idx="420">
                  <c:v>1.35</c:v>
                </c:pt>
                <c:pt idx="421">
                  <c:v>4.29</c:v>
                </c:pt>
                <c:pt idx="422">
                  <c:v>3.49</c:v>
                </c:pt>
                <c:pt idx="423">
                  <c:v>2.76</c:v>
                </c:pt>
                <c:pt idx="424">
                  <c:v>1.6</c:v>
                </c:pt>
                <c:pt idx="425">
                  <c:v>3.86</c:v>
                </c:pt>
                <c:pt idx="426">
                  <c:v>3.29</c:v>
                </c:pt>
                <c:pt idx="427">
                  <c:v>1.78</c:v>
                </c:pt>
                <c:pt idx="428">
                  <c:v>3.8</c:v>
                </c:pt>
                <c:pt idx="429">
                  <c:v>3.62</c:v>
                </c:pt>
                <c:pt idx="430">
                  <c:v>2.14</c:v>
                </c:pt>
                <c:pt idx="431">
                  <c:v>3.98</c:v>
                </c:pt>
                <c:pt idx="432">
                  <c:v>3.75</c:v>
                </c:pt>
                <c:pt idx="433">
                  <c:v>1.93</c:v>
                </c:pt>
                <c:pt idx="434">
                  <c:v>4.03</c:v>
                </c:pt>
                <c:pt idx="435">
                  <c:v>3.99</c:v>
                </c:pt>
                <c:pt idx="436">
                  <c:v>2.2799999999999998</c:v>
                </c:pt>
              </c:numCache>
            </c:numRef>
          </c:xVal>
          <c:yVal>
            <c:numRef>
              <c:f>Foglio1!$C$2:$C$438</c:f>
              <c:numCache>
                <c:formatCode>0.00</c:formatCode>
                <c:ptCount val="437"/>
                <c:pt idx="0">
                  <c:v>4.1506519317626953</c:v>
                </c:pt>
                <c:pt idx="1">
                  <c:v>4.2301464080810547</c:v>
                </c:pt>
                <c:pt idx="2">
                  <c:v>4.2551383972167969</c:v>
                </c:pt>
                <c:pt idx="3">
                  <c:v>4.0714921951293954</c:v>
                </c:pt>
                <c:pt idx="4">
                  <c:v>3.8801569938659668</c:v>
                </c:pt>
                <c:pt idx="5">
                  <c:v>3.8256547451019292</c:v>
                </c:pt>
                <c:pt idx="6">
                  <c:v>3.7596859931945801</c:v>
                </c:pt>
                <c:pt idx="7">
                  <c:v>4.1826353073120117</c:v>
                </c:pt>
                <c:pt idx="8">
                  <c:v>4.086367130279541</c:v>
                </c:pt>
                <c:pt idx="9">
                  <c:v>4.1227827072143546</c:v>
                </c:pt>
                <c:pt idx="10">
                  <c:v>3.9769966602325439</c:v>
                </c:pt>
                <c:pt idx="11">
                  <c:v>3.8169572353363042</c:v>
                </c:pt>
                <c:pt idx="12">
                  <c:v>3.761616706848145</c:v>
                </c:pt>
                <c:pt idx="13">
                  <c:v>3.8827745914459229</c:v>
                </c:pt>
                <c:pt idx="14">
                  <c:v>3.6804912090301509</c:v>
                </c:pt>
                <c:pt idx="15">
                  <c:v>3.5682880878448491</c:v>
                </c:pt>
                <c:pt idx="16">
                  <c:v>3.9562113285064702</c:v>
                </c:pt>
                <c:pt idx="17">
                  <c:v>4.0729613304138184</c:v>
                </c:pt>
                <c:pt idx="18">
                  <c:v>4.0786662101745614</c:v>
                </c:pt>
                <c:pt idx="19">
                  <c:v>3.979723215103149</c:v>
                </c:pt>
                <c:pt idx="20">
                  <c:v>3.428709745407104</c:v>
                </c:pt>
                <c:pt idx="21">
                  <c:v>3.5577094554901119</c:v>
                </c:pt>
                <c:pt idx="22">
                  <c:v>3.5646519660949711</c:v>
                </c:pt>
                <c:pt idx="23">
                  <c:v>4.1678800582885742</c:v>
                </c:pt>
                <c:pt idx="24">
                  <c:v>4.1255283355712891</c:v>
                </c:pt>
                <c:pt idx="25">
                  <c:v>4.1331963539123544</c:v>
                </c:pt>
                <c:pt idx="26">
                  <c:v>4.0741639137268066</c:v>
                </c:pt>
                <c:pt idx="27">
                  <c:v>3.6730432510375981</c:v>
                </c:pt>
                <c:pt idx="28">
                  <c:v>3.805944442749023</c:v>
                </c:pt>
                <c:pt idx="29">
                  <c:v>3.7610383033752441</c:v>
                </c:pt>
                <c:pt idx="30">
                  <c:v>3.475328922271729</c:v>
                </c:pt>
                <c:pt idx="31">
                  <c:v>3.4664607048034668</c:v>
                </c:pt>
                <c:pt idx="32">
                  <c:v>3.5633013248443599</c:v>
                </c:pt>
                <c:pt idx="33">
                  <c:v>3.8321928977966309</c:v>
                </c:pt>
                <c:pt idx="34">
                  <c:v>3.779744148254395</c:v>
                </c:pt>
                <c:pt idx="35">
                  <c:v>3.7147586345672612</c:v>
                </c:pt>
                <c:pt idx="36">
                  <c:v>3.390902042388916</c:v>
                </c:pt>
                <c:pt idx="37">
                  <c:v>3.5079505443572998</c:v>
                </c:pt>
                <c:pt idx="38">
                  <c:v>3.2715597152709961</c:v>
                </c:pt>
                <c:pt idx="39">
                  <c:v>3.2490451335906978</c:v>
                </c:pt>
                <c:pt idx="40">
                  <c:v>3.7531585693359379</c:v>
                </c:pt>
                <c:pt idx="41">
                  <c:v>3.6930630207061772</c:v>
                </c:pt>
                <c:pt idx="42">
                  <c:v>3.635633230209351</c:v>
                </c:pt>
                <c:pt idx="43">
                  <c:v>3.530870676040649</c:v>
                </c:pt>
                <c:pt idx="44">
                  <c:v>3.379885196685791</c:v>
                </c:pt>
                <c:pt idx="45">
                  <c:v>2.917099237442017</c:v>
                </c:pt>
                <c:pt idx="46">
                  <c:v>3.2191660404205318</c:v>
                </c:pt>
                <c:pt idx="47">
                  <c:v>3.2438557147979741</c:v>
                </c:pt>
                <c:pt idx="48">
                  <c:v>3.377435684204102</c:v>
                </c:pt>
                <c:pt idx="49">
                  <c:v>3.535312414169312</c:v>
                </c:pt>
                <c:pt idx="50">
                  <c:v>3.4880578517913818</c:v>
                </c:pt>
                <c:pt idx="51">
                  <c:v>3.4066464900970459</c:v>
                </c:pt>
                <c:pt idx="52">
                  <c:v>3.49513840675354</c:v>
                </c:pt>
                <c:pt idx="53">
                  <c:v>3.469816923141479</c:v>
                </c:pt>
                <c:pt idx="54">
                  <c:v>3.7597041130065918</c:v>
                </c:pt>
                <c:pt idx="55">
                  <c:v>3.7165014743804932</c:v>
                </c:pt>
                <c:pt idx="56">
                  <c:v>3.708464622497559</c:v>
                </c:pt>
                <c:pt idx="57">
                  <c:v>3.5419635772705078</c:v>
                </c:pt>
                <c:pt idx="58">
                  <c:v>3.551750659942627</c:v>
                </c:pt>
                <c:pt idx="59">
                  <c:v>3.55525803565979</c:v>
                </c:pt>
                <c:pt idx="60">
                  <c:v>3.9291162490844731</c:v>
                </c:pt>
                <c:pt idx="61">
                  <c:v>3.888934850692749</c:v>
                </c:pt>
                <c:pt idx="62">
                  <c:v>3.976610422134399</c:v>
                </c:pt>
                <c:pt idx="63">
                  <c:v>3.4682495594024658</c:v>
                </c:pt>
                <c:pt idx="64">
                  <c:v>3.4018619060516362</c:v>
                </c:pt>
                <c:pt idx="65">
                  <c:v>3.327813863754272</c:v>
                </c:pt>
                <c:pt idx="66">
                  <c:v>3.8599872589111328</c:v>
                </c:pt>
                <c:pt idx="67">
                  <c:v>3.807208776473999</c:v>
                </c:pt>
                <c:pt idx="68">
                  <c:v>3.7368569374084468</c:v>
                </c:pt>
                <c:pt idx="69">
                  <c:v>3.645865678787231</c:v>
                </c:pt>
                <c:pt idx="70">
                  <c:v>3.4869873523712158</c:v>
                </c:pt>
                <c:pt idx="71">
                  <c:v>2.8998956680297852</c:v>
                </c:pt>
                <c:pt idx="72">
                  <c:v>3.066369771957397</c:v>
                </c:pt>
                <c:pt idx="73">
                  <c:v>3.2062067985534668</c:v>
                </c:pt>
                <c:pt idx="74">
                  <c:v>3.4411106109619141</c:v>
                </c:pt>
                <c:pt idx="75">
                  <c:v>3.5372989177703862</c:v>
                </c:pt>
                <c:pt idx="76">
                  <c:v>3.537450790405273</c:v>
                </c:pt>
                <c:pt idx="77">
                  <c:v>3.364669561386108</c:v>
                </c:pt>
                <c:pt idx="78">
                  <c:v>3.4679608345031738</c:v>
                </c:pt>
                <c:pt idx="79">
                  <c:v>3.4176371097564702</c:v>
                </c:pt>
                <c:pt idx="80">
                  <c:v>3.5980832576751709</c:v>
                </c:pt>
                <c:pt idx="81">
                  <c:v>3.769709587097168</c:v>
                </c:pt>
                <c:pt idx="82">
                  <c:v>3.733183860778809</c:v>
                </c:pt>
                <c:pt idx="83">
                  <c:v>3.514741182327271</c:v>
                </c:pt>
                <c:pt idx="84">
                  <c:v>3.5079605579376221</c:v>
                </c:pt>
                <c:pt idx="85">
                  <c:v>3.5209240913391109</c:v>
                </c:pt>
                <c:pt idx="86">
                  <c:v>3.4582042694091801</c:v>
                </c:pt>
                <c:pt idx="87">
                  <c:v>3.8703639507293701</c:v>
                </c:pt>
                <c:pt idx="88">
                  <c:v>3.856167078018188</c:v>
                </c:pt>
                <c:pt idx="89">
                  <c:v>3.9334597587585449</c:v>
                </c:pt>
                <c:pt idx="90">
                  <c:v>3.7517201900482182</c:v>
                </c:pt>
                <c:pt idx="91">
                  <c:v>3.4340939521789551</c:v>
                </c:pt>
                <c:pt idx="92">
                  <c:v>3.5471405982971191</c:v>
                </c:pt>
                <c:pt idx="93">
                  <c:v>3.3075978755950932</c:v>
                </c:pt>
                <c:pt idx="94">
                  <c:v>3.2834854125976558</c:v>
                </c:pt>
                <c:pt idx="95">
                  <c:v>3.7130615711212158</c:v>
                </c:pt>
                <c:pt idx="96">
                  <c:v>3.7248063087463379</c:v>
                </c:pt>
                <c:pt idx="97">
                  <c:v>3.6769566535949711</c:v>
                </c:pt>
                <c:pt idx="98">
                  <c:v>3.5778894424438481</c:v>
                </c:pt>
                <c:pt idx="99">
                  <c:v>3.4015552997589111</c:v>
                </c:pt>
                <c:pt idx="100">
                  <c:v>2.9563596248626709</c:v>
                </c:pt>
                <c:pt idx="101">
                  <c:v>3.182009220123291</c:v>
                </c:pt>
                <c:pt idx="102">
                  <c:v>3.2862389087677002</c:v>
                </c:pt>
                <c:pt idx="103">
                  <c:v>3.5237605571746831</c:v>
                </c:pt>
                <c:pt idx="104">
                  <c:v>3.5883808135986328</c:v>
                </c:pt>
                <c:pt idx="105">
                  <c:v>3.5451099872589111</c:v>
                </c:pt>
                <c:pt idx="106">
                  <c:v>3.4536702632904048</c:v>
                </c:pt>
                <c:pt idx="107">
                  <c:v>3.5336499214172359</c:v>
                </c:pt>
                <c:pt idx="108">
                  <c:v>3.5082311630249019</c:v>
                </c:pt>
                <c:pt idx="109">
                  <c:v>3.5172004699707031</c:v>
                </c:pt>
                <c:pt idx="110">
                  <c:v>3.6705634593963619</c:v>
                </c:pt>
                <c:pt idx="111">
                  <c:v>3.8202798366546631</c:v>
                </c:pt>
                <c:pt idx="112">
                  <c:v>3.7693886756896968</c:v>
                </c:pt>
                <c:pt idx="113">
                  <c:v>3.8744697570800781</c:v>
                </c:pt>
                <c:pt idx="114">
                  <c:v>3.435158252716064</c:v>
                </c:pt>
                <c:pt idx="115">
                  <c:v>3.45044994354248</c:v>
                </c:pt>
                <c:pt idx="116">
                  <c:v>3.544543981552124</c:v>
                </c:pt>
                <c:pt idx="117">
                  <c:v>3.359210729598999</c:v>
                </c:pt>
                <c:pt idx="118">
                  <c:v>3.8000118732452388</c:v>
                </c:pt>
                <c:pt idx="119">
                  <c:v>3.7713346481323242</c:v>
                </c:pt>
                <c:pt idx="120">
                  <c:v>3.7175319194793701</c:v>
                </c:pt>
                <c:pt idx="121">
                  <c:v>3.6496236324310298</c:v>
                </c:pt>
                <c:pt idx="122">
                  <c:v>3.3874120712280269</c:v>
                </c:pt>
                <c:pt idx="123">
                  <c:v>3.3079757690429692</c:v>
                </c:pt>
                <c:pt idx="124">
                  <c:v>3.2419552803039551</c:v>
                </c:pt>
                <c:pt idx="125">
                  <c:v>3.198402881622314</c:v>
                </c:pt>
                <c:pt idx="126">
                  <c:v>3.6685183048248291</c:v>
                </c:pt>
                <c:pt idx="127">
                  <c:v>3.8120567798614502</c:v>
                </c:pt>
                <c:pt idx="128">
                  <c:v>3.5376536846160889</c:v>
                </c:pt>
                <c:pt idx="129">
                  <c:v>3.5163486003875728</c:v>
                </c:pt>
                <c:pt idx="130">
                  <c:v>3.503915548324585</c:v>
                </c:pt>
                <c:pt idx="131">
                  <c:v>2.8899872303009029</c:v>
                </c:pt>
                <c:pt idx="132">
                  <c:v>3.179613590240479</c:v>
                </c:pt>
                <c:pt idx="133">
                  <c:v>3.2456140518188481</c:v>
                </c:pt>
                <c:pt idx="134">
                  <c:v>3.3362681865692139</c:v>
                </c:pt>
                <c:pt idx="135">
                  <c:v>3.4769265651702881</c:v>
                </c:pt>
                <c:pt idx="136">
                  <c:v>3.6221244335174561</c:v>
                </c:pt>
                <c:pt idx="137">
                  <c:v>3.3778839111328121</c:v>
                </c:pt>
                <c:pt idx="138">
                  <c:v>3.4478330612182622</c:v>
                </c:pt>
                <c:pt idx="139">
                  <c:v>3.4557614326477051</c:v>
                </c:pt>
                <c:pt idx="140">
                  <c:v>3.368404865264893</c:v>
                </c:pt>
                <c:pt idx="141">
                  <c:v>3.7621357440948491</c:v>
                </c:pt>
                <c:pt idx="142">
                  <c:v>3.729033231735229</c:v>
                </c:pt>
                <c:pt idx="143">
                  <c:v>3.6968445777893071</c:v>
                </c:pt>
                <c:pt idx="144">
                  <c:v>3.6508414745330811</c:v>
                </c:pt>
                <c:pt idx="145">
                  <c:v>4.1789956092834473</c:v>
                </c:pt>
                <c:pt idx="146">
                  <c:v>4.0941777229309082</c:v>
                </c:pt>
                <c:pt idx="147">
                  <c:v>4.1077671051025391</c:v>
                </c:pt>
                <c:pt idx="148">
                  <c:v>4.1149907112121582</c:v>
                </c:pt>
                <c:pt idx="149">
                  <c:v>3.8400745391845699</c:v>
                </c:pt>
                <c:pt idx="150">
                  <c:v>3.7809286117553711</c:v>
                </c:pt>
                <c:pt idx="151">
                  <c:v>3.812269926071167</c:v>
                </c:pt>
                <c:pt idx="152">
                  <c:v>3.8968784809112549</c:v>
                </c:pt>
                <c:pt idx="153">
                  <c:v>4.1364970207214364</c:v>
                </c:pt>
                <c:pt idx="154">
                  <c:v>4.1355795860290527</c:v>
                </c:pt>
                <c:pt idx="155">
                  <c:v>4.1475095748901367</c:v>
                </c:pt>
                <c:pt idx="156">
                  <c:v>3.9342436790466309</c:v>
                </c:pt>
                <c:pt idx="157">
                  <c:v>3.865559577941895</c:v>
                </c:pt>
                <c:pt idx="158">
                  <c:v>3.7750742435455318</c:v>
                </c:pt>
                <c:pt idx="159">
                  <c:v>3.7272629737853999</c:v>
                </c:pt>
                <c:pt idx="160">
                  <c:v>3.6916706562042241</c:v>
                </c:pt>
                <c:pt idx="161">
                  <c:v>3.5643823146820068</c:v>
                </c:pt>
                <c:pt idx="162">
                  <c:v>3.4872739315032959</c:v>
                </c:pt>
                <c:pt idx="163">
                  <c:v>3.917265653610229</c:v>
                </c:pt>
                <c:pt idx="164">
                  <c:v>3.8864707946777339</c:v>
                </c:pt>
                <c:pt idx="165">
                  <c:v>3.3545181751251221</c:v>
                </c:pt>
                <c:pt idx="166">
                  <c:v>3.4436542987823491</c:v>
                </c:pt>
                <c:pt idx="167">
                  <c:v>3.3673858642578121</c:v>
                </c:pt>
                <c:pt idx="168">
                  <c:v>3.9156360626220699</c:v>
                </c:pt>
                <c:pt idx="169">
                  <c:v>3.9230105876922612</c:v>
                </c:pt>
                <c:pt idx="170">
                  <c:v>3.985925436019897</c:v>
                </c:pt>
                <c:pt idx="171">
                  <c:v>3.585412979125977</c:v>
                </c:pt>
                <c:pt idx="172">
                  <c:v>3.6020245552062988</c:v>
                </c:pt>
                <c:pt idx="173">
                  <c:v>3.6381897926330571</c:v>
                </c:pt>
                <c:pt idx="174">
                  <c:v>4.1936016082763672</c:v>
                </c:pt>
                <c:pt idx="175">
                  <c:v>4.2213540077209473</c:v>
                </c:pt>
                <c:pt idx="176">
                  <c:v>4.2908182144165039</c:v>
                </c:pt>
                <c:pt idx="177">
                  <c:v>4.1245255470275879</c:v>
                </c:pt>
                <c:pt idx="178">
                  <c:v>3.9410803318023682</c:v>
                </c:pt>
                <c:pt idx="179">
                  <c:v>3.8930289745330811</c:v>
                </c:pt>
                <c:pt idx="180">
                  <c:v>3.8387138843536381</c:v>
                </c:pt>
                <c:pt idx="181">
                  <c:v>4.2250666618347168</c:v>
                </c:pt>
                <c:pt idx="182">
                  <c:v>4.1375389099121094</c:v>
                </c:pt>
                <c:pt idx="183">
                  <c:v>4.1984333992004386</c:v>
                </c:pt>
                <c:pt idx="184">
                  <c:v>4.0138258934020996</c:v>
                </c:pt>
                <c:pt idx="185">
                  <c:v>3.989328145980835</c:v>
                </c:pt>
                <c:pt idx="186">
                  <c:v>3.8093738555908199</c:v>
                </c:pt>
                <c:pt idx="187">
                  <c:v>3.7581906318664551</c:v>
                </c:pt>
                <c:pt idx="188">
                  <c:v>3.6694140434265141</c:v>
                </c:pt>
                <c:pt idx="189">
                  <c:v>3.6162621974945068</c:v>
                </c:pt>
                <c:pt idx="190">
                  <c:v>4.1175227165222168</c:v>
                </c:pt>
                <c:pt idx="191">
                  <c:v>4.1220784187316886</c:v>
                </c:pt>
                <c:pt idx="192">
                  <c:v>4.035090446472168</c:v>
                </c:pt>
                <c:pt idx="193">
                  <c:v>3.5218455791473389</c:v>
                </c:pt>
                <c:pt idx="194">
                  <c:v>3.665621280670166</c:v>
                </c:pt>
                <c:pt idx="195">
                  <c:v>3.6322307586669922</c:v>
                </c:pt>
                <c:pt idx="196">
                  <c:v>4.2077088356018066</c:v>
                </c:pt>
                <c:pt idx="197">
                  <c:v>4.1670064926147461</c:v>
                </c:pt>
                <c:pt idx="198">
                  <c:v>4.1766800880432129</c:v>
                </c:pt>
                <c:pt idx="199">
                  <c:v>4.2336087226867676</c:v>
                </c:pt>
                <c:pt idx="200">
                  <c:v>3.758901834487915</c:v>
                </c:pt>
                <c:pt idx="201">
                  <c:v>3.870558500289917</c:v>
                </c:pt>
                <c:pt idx="202">
                  <c:v>3.8291254043579102</c:v>
                </c:pt>
                <c:pt idx="203">
                  <c:v>3.5465507507324219</c:v>
                </c:pt>
                <c:pt idx="204">
                  <c:v>3.5606639385223389</c:v>
                </c:pt>
                <c:pt idx="205">
                  <c:v>3.4843814373016362</c:v>
                </c:pt>
                <c:pt idx="206">
                  <c:v>3.3830525875091548</c:v>
                </c:pt>
                <c:pt idx="207">
                  <c:v>3.9022328853607182</c:v>
                </c:pt>
                <c:pt idx="208">
                  <c:v>3.8058755397796631</c:v>
                </c:pt>
                <c:pt idx="209">
                  <c:v>3.6849641799926758</c:v>
                </c:pt>
                <c:pt idx="210">
                  <c:v>3.4861643314361568</c:v>
                </c:pt>
                <c:pt idx="211">
                  <c:v>3.3875548839569092</c:v>
                </c:pt>
                <c:pt idx="212">
                  <c:v>3.2595920562744141</c:v>
                </c:pt>
                <c:pt idx="213">
                  <c:v>3.085407972335815</c:v>
                </c:pt>
                <c:pt idx="214">
                  <c:v>3.7822475433349609</c:v>
                </c:pt>
                <c:pt idx="215">
                  <c:v>3.917070627212524</c:v>
                </c:pt>
                <c:pt idx="216">
                  <c:v>3.554973840713501</c:v>
                </c:pt>
                <c:pt idx="217">
                  <c:v>3.5349609851837158</c:v>
                </c:pt>
                <c:pt idx="218">
                  <c:v>3.513679981231689</c:v>
                </c:pt>
                <c:pt idx="219">
                  <c:v>3.0166714191436772</c:v>
                </c:pt>
                <c:pt idx="220">
                  <c:v>3.33616042137146</c:v>
                </c:pt>
                <c:pt idx="221">
                  <c:v>3.3465662002563481</c:v>
                </c:pt>
                <c:pt idx="222">
                  <c:v>3.322569608688354</c:v>
                </c:pt>
                <c:pt idx="223">
                  <c:v>3.5945355892181401</c:v>
                </c:pt>
                <c:pt idx="224">
                  <c:v>3.5973408222198491</c:v>
                </c:pt>
                <c:pt idx="225">
                  <c:v>3.627092599868774</c:v>
                </c:pt>
                <c:pt idx="226">
                  <c:v>3.7596251964569092</c:v>
                </c:pt>
                <c:pt idx="227">
                  <c:v>3.4754126071929932</c:v>
                </c:pt>
                <c:pt idx="228">
                  <c:v>3.5574243068695068</c:v>
                </c:pt>
                <c:pt idx="229">
                  <c:v>3.4761695861816411</c:v>
                </c:pt>
                <c:pt idx="230">
                  <c:v>3.871747493743896</c:v>
                </c:pt>
                <c:pt idx="231">
                  <c:v>3.8037981986999512</c:v>
                </c:pt>
                <c:pt idx="232">
                  <c:v>3.8001453876495361</c:v>
                </c:pt>
                <c:pt idx="233">
                  <c:v>3.5043566226959229</c:v>
                </c:pt>
                <c:pt idx="234">
                  <c:v>3.498050451278687</c:v>
                </c:pt>
                <c:pt idx="235">
                  <c:v>3.5940811634063721</c:v>
                </c:pt>
                <c:pt idx="236">
                  <c:v>3.4324967861175542</c:v>
                </c:pt>
                <c:pt idx="237">
                  <c:v>3.7959716320037842</c:v>
                </c:pt>
                <c:pt idx="238">
                  <c:v>3.816717386245728</c:v>
                </c:pt>
                <c:pt idx="239">
                  <c:v>3.758816003799438</c:v>
                </c:pt>
                <c:pt idx="240">
                  <c:v>3.691983699798584</c:v>
                </c:pt>
                <c:pt idx="241">
                  <c:v>3.4248876571655269</c:v>
                </c:pt>
                <c:pt idx="242">
                  <c:v>3.3720133304595952</c:v>
                </c:pt>
                <c:pt idx="243">
                  <c:v>3.2914109230041499</c:v>
                </c:pt>
                <c:pt idx="244">
                  <c:v>3.243039608001709</c:v>
                </c:pt>
                <c:pt idx="245">
                  <c:v>3.7840056419372559</c:v>
                </c:pt>
                <c:pt idx="246">
                  <c:v>3.7218790054321289</c:v>
                </c:pt>
                <c:pt idx="247">
                  <c:v>3.666080236434937</c:v>
                </c:pt>
                <c:pt idx="248">
                  <c:v>3.554965734481812</c:v>
                </c:pt>
                <c:pt idx="249">
                  <c:v>3.5409669876098628</c:v>
                </c:pt>
                <c:pt idx="250">
                  <c:v>2.9539942741394039</c:v>
                </c:pt>
                <c:pt idx="251">
                  <c:v>3.2596137523651119</c:v>
                </c:pt>
                <c:pt idx="252">
                  <c:v>3.3072783946990971</c:v>
                </c:pt>
                <c:pt idx="253">
                  <c:v>3.5139720439910889</c:v>
                </c:pt>
                <c:pt idx="254">
                  <c:v>3.5726742744445801</c:v>
                </c:pt>
                <c:pt idx="255">
                  <c:v>3.6896202564239502</c:v>
                </c:pt>
                <c:pt idx="256">
                  <c:v>3.445019006729126</c:v>
                </c:pt>
                <c:pt idx="257">
                  <c:v>3.524800300598145</c:v>
                </c:pt>
                <c:pt idx="258">
                  <c:v>3.5062515735626221</c:v>
                </c:pt>
                <c:pt idx="259">
                  <c:v>3.567444801330566</c:v>
                </c:pt>
                <c:pt idx="260">
                  <c:v>3.7971186637878418</c:v>
                </c:pt>
                <c:pt idx="261">
                  <c:v>3.7464137077331539</c:v>
                </c:pt>
                <c:pt idx="262">
                  <c:v>3.7380518913269039</c:v>
                </c:pt>
                <c:pt idx="263">
                  <c:v>3.6592390537261958</c:v>
                </c:pt>
                <c:pt idx="264">
                  <c:v>4.2813296318054199</c:v>
                </c:pt>
                <c:pt idx="265">
                  <c:v>4.2741861343383789</c:v>
                </c:pt>
                <c:pt idx="266">
                  <c:v>4.1345553398132324</c:v>
                </c:pt>
                <c:pt idx="267">
                  <c:v>3.9863989353179932</c:v>
                </c:pt>
                <c:pt idx="268">
                  <c:v>3.973914623260498</c:v>
                </c:pt>
                <c:pt idx="269">
                  <c:v>3.886480331420898</c:v>
                </c:pt>
                <c:pt idx="270">
                  <c:v>3.753856897354126</c:v>
                </c:pt>
                <c:pt idx="271">
                  <c:v>4.2371726036071777</c:v>
                </c:pt>
                <c:pt idx="272">
                  <c:v>4.2192201614379883</c:v>
                </c:pt>
                <c:pt idx="273">
                  <c:v>4.0121302604675293</c:v>
                </c:pt>
                <c:pt idx="274">
                  <c:v>3.916373729705811</c:v>
                </c:pt>
                <c:pt idx="275">
                  <c:v>3.8858144283294682</c:v>
                </c:pt>
                <c:pt idx="276">
                  <c:v>4.0365090370178223</c:v>
                </c:pt>
                <c:pt idx="277">
                  <c:v>3.6080870628356929</c:v>
                </c:pt>
                <c:pt idx="278">
                  <c:v>3.5872893333435059</c:v>
                </c:pt>
                <c:pt idx="279">
                  <c:v>3.517553329467773</c:v>
                </c:pt>
                <c:pt idx="280">
                  <c:v>4.0855178833007813</c:v>
                </c:pt>
                <c:pt idx="281">
                  <c:v>3.873842716217041</c:v>
                </c:pt>
                <c:pt idx="282">
                  <c:v>4.0305848121643066</c:v>
                </c:pt>
                <c:pt idx="283">
                  <c:v>3.469023466110229</c:v>
                </c:pt>
                <c:pt idx="284">
                  <c:v>3.559594869613647</c:v>
                </c:pt>
                <c:pt idx="285">
                  <c:v>3.5152823925018311</c:v>
                </c:pt>
                <c:pt idx="286">
                  <c:v>4.1296391487121582</c:v>
                </c:pt>
                <c:pt idx="287">
                  <c:v>4.0777487754821777</c:v>
                </c:pt>
                <c:pt idx="288">
                  <c:v>4.183845043182373</c:v>
                </c:pt>
                <c:pt idx="289">
                  <c:v>3.9249825477600102</c:v>
                </c:pt>
                <c:pt idx="290">
                  <c:v>3.8721470832824711</c:v>
                </c:pt>
                <c:pt idx="291">
                  <c:v>3.7700819969177251</c:v>
                </c:pt>
                <c:pt idx="292">
                  <c:v>3.777822732925415</c:v>
                </c:pt>
                <c:pt idx="293">
                  <c:v>3.524258136749268</c:v>
                </c:pt>
                <c:pt idx="294">
                  <c:v>3.541146993637085</c:v>
                </c:pt>
                <c:pt idx="295">
                  <c:v>3.6186149120330811</c:v>
                </c:pt>
                <c:pt idx="296">
                  <c:v>3.4908707141876221</c:v>
                </c:pt>
                <c:pt idx="297">
                  <c:v>3.8825333118438721</c:v>
                </c:pt>
                <c:pt idx="298">
                  <c:v>3.8152542114257808</c:v>
                </c:pt>
                <c:pt idx="299">
                  <c:v>3.7463521957397461</c:v>
                </c:pt>
                <c:pt idx="300">
                  <c:v>3.4866013526916499</c:v>
                </c:pt>
                <c:pt idx="301">
                  <c:v>3.4153602123260498</c:v>
                </c:pt>
                <c:pt idx="302">
                  <c:v>3.3233296871185298</c:v>
                </c:pt>
                <c:pt idx="303">
                  <c:v>3.2867555618286128</c:v>
                </c:pt>
                <c:pt idx="304">
                  <c:v>3.8606793880462651</c:v>
                </c:pt>
                <c:pt idx="305">
                  <c:v>3.7365660667419429</c:v>
                </c:pt>
                <c:pt idx="306">
                  <c:v>3.646640300750732</c:v>
                </c:pt>
                <c:pt idx="307">
                  <c:v>3.6292693614959721</c:v>
                </c:pt>
                <c:pt idx="308">
                  <c:v>3.4911425113677979</c:v>
                </c:pt>
                <c:pt idx="309">
                  <c:v>3.0498723983764648</c:v>
                </c:pt>
                <c:pt idx="310">
                  <c:v>3.2167642116546631</c:v>
                </c:pt>
                <c:pt idx="311">
                  <c:v>3.1935172080993648</c:v>
                </c:pt>
                <c:pt idx="312">
                  <c:v>3.5287590026855469</c:v>
                </c:pt>
                <c:pt idx="313">
                  <c:v>3.4795413017272949</c:v>
                </c:pt>
                <c:pt idx="314">
                  <c:v>3.6294717788696289</c:v>
                </c:pt>
                <c:pt idx="315">
                  <c:v>3.4560599327087398</c:v>
                </c:pt>
                <c:pt idx="316">
                  <c:v>3.4514613151550289</c:v>
                </c:pt>
                <c:pt idx="317">
                  <c:v>3.5049281120300289</c:v>
                </c:pt>
                <c:pt idx="318">
                  <c:v>3.6874315738677979</c:v>
                </c:pt>
                <c:pt idx="319">
                  <c:v>3.6724128723144531</c:v>
                </c:pt>
                <c:pt idx="320">
                  <c:v>3.6485340595245361</c:v>
                </c:pt>
                <c:pt idx="321">
                  <c:v>3.5573394298553471</c:v>
                </c:pt>
                <c:pt idx="322">
                  <c:v>3.5517933368682861</c:v>
                </c:pt>
                <c:pt idx="323">
                  <c:v>3.636127233505249</c:v>
                </c:pt>
                <c:pt idx="324">
                  <c:v>3.395870447158813</c:v>
                </c:pt>
                <c:pt idx="325">
                  <c:v>3.9115362167358398</c:v>
                </c:pt>
                <c:pt idx="326">
                  <c:v>3.85676097869873</c:v>
                </c:pt>
                <c:pt idx="327">
                  <c:v>3.746679306030273</c:v>
                </c:pt>
                <c:pt idx="328">
                  <c:v>3.6105561256408691</c:v>
                </c:pt>
                <c:pt idx="329">
                  <c:v>3.4602971076965332</c:v>
                </c:pt>
                <c:pt idx="330">
                  <c:v>3.33048415184021</c:v>
                </c:pt>
                <c:pt idx="331">
                  <c:v>3.1614270210266109</c:v>
                </c:pt>
                <c:pt idx="332">
                  <c:v>3.0733635425567631</c:v>
                </c:pt>
                <c:pt idx="333">
                  <c:v>3.827881813049316</c:v>
                </c:pt>
                <c:pt idx="334">
                  <c:v>3.8241090774536128</c:v>
                </c:pt>
                <c:pt idx="335">
                  <c:v>3.6406712532043461</c:v>
                </c:pt>
                <c:pt idx="336">
                  <c:v>3.4471971988677979</c:v>
                </c:pt>
                <c:pt idx="337">
                  <c:v>3.340537309646606</c:v>
                </c:pt>
                <c:pt idx="338">
                  <c:v>2.9100079536437988</c:v>
                </c:pt>
                <c:pt idx="339">
                  <c:v>3.2566680908203121</c:v>
                </c:pt>
                <c:pt idx="340">
                  <c:v>3.246139287948608</c:v>
                </c:pt>
                <c:pt idx="341">
                  <c:v>3.5302529335021968</c:v>
                </c:pt>
                <c:pt idx="342">
                  <c:v>3.6441366672515869</c:v>
                </c:pt>
                <c:pt idx="343">
                  <c:v>3.5103671550750728</c:v>
                </c:pt>
                <c:pt idx="344">
                  <c:v>3.4429059028625488</c:v>
                </c:pt>
                <c:pt idx="345">
                  <c:v>3.5388197898864751</c:v>
                </c:pt>
                <c:pt idx="346">
                  <c:v>3.482471227645874</c:v>
                </c:pt>
                <c:pt idx="347">
                  <c:v>3.5708456039428711</c:v>
                </c:pt>
                <c:pt idx="348">
                  <c:v>3.8989593982696529</c:v>
                </c:pt>
                <c:pt idx="349">
                  <c:v>3.8426792621612549</c:v>
                </c:pt>
                <c:pt idx="350">
                  <c:v>3.7975871562957759</c:v>
                </c:pt>
                <c:pt idx="351">
                  <c:v>3.6918497085571289</c:v>
                </c:pt>
                <c:pt idx="352">
                  <c:v>3.505567312240601</c:v>
                </c:pt>
                <c:pt idx="353">
                  <c:v>3.5188841819763179</c:v>
                </c:pt>
                <c:pt idx="354">
                  <c:v>3.416894674301147</c:v>
                </c:pt>
                <c:pt idx="355">
                  <c:v>3.3570184707641602</c:v>
                </c:pt>
                <c:pt idx="356">
                  <c:v>3.8328323364257808</c:v>
                </c:pt>
                <c:pt idx="357">
                  <c:v>3.7345540523529048</c:v>
                </c:pt>
                <c:pt idx="358">
                  <c:v>3.6537849903106689</c:v>
                </c:pt>
                <c:pt idx="359">
                  <c:v>3.5090100765228271</c:v>
                </c:pt>
                <c:pt idx="360">
                  <c:v>3.3371834754943852</c:v>
                </c:pt>
                <c:pt idx="361">
                  <c:v>3.2345788478851318</c:v>
                </c:pt>
                <c:pt idx="362">
                  <c:v>3.1914057731628418</c:v>
                </c:pt>
                <c:pt idx="363">
                  <c:v>3.833511590957642</c:v>
                </c:pt>
                <c:pt idx="364">
                  <c:v>3.6605377197265621</c:v>
                </c:pt>
                <c:pt idx="365">
                  <c:v>3.5315687656402588</c:v>
                </c:pt>
                <c:pt idx="366">
                  <c:v>3.4777567386627202</c:v>
                </c:pt>
                <c:pt idx="367">
                  <c:v>3.4838330745697021</c:v>
                </c:pt>
                <c:pt idx="368">
                  <c:v>3.2483129501342769</c:v>
                </c:pt>
                <c:pt idx="369">
                  <c:v>3.2722396850585942</c:v>
                </c:pt>
                <c:pt idx="370">
                  <c:v>3.2919492721557622</c:v>
                </c:pt>
                <c:pt idx="371">
                  <c:v>3.6319277286529541</c:v>
                </c:pt>
                <c:pt idx="372">
                  <c:v>3.636272668838501</c:v>
                </c:pt>
                <c:pt idx="373">
                  <c:v>3.4883654117584229</c:v>
                </c:pt>
                <c:pt idx="374">
                  <c:v>3.487363338470459</c:v>
                </c:pt>
                <c:pt idx="375">
                  <c:v>3.5033423900604248</c:v>
                </c:pt>
                <c:pt idx="376">
                  <c:v>3.4947385787963872</c:v>
                </c:pt>
                <c:pt idx="377">
                  <c:v>3.3923733234405522</c:v>
                </c:pt>
                <c:pt idx="378">
                  <c:v>3.819275856018066</c:v>
                </c:pt>
                <c:pt idx="379">
                  <c:v>3.7706680297851558</c:v>
                </c:pt>
                <c:pt idx="380">
                  <c:v>3.6862952709197998</c:v>
                </c:pt>
                <c:pt idx="381">
                  <c:v>3.729732751846313</c:v>
                </c:pt>
                <c:pt idx="382">
                  <c:v>3.5333187580108638</c:v>
                </c:pt>
                <c:pt idx="383">
                  <c:v>3.5451629161834721</c:v>
                </c:pt>
                <c:pt idx="384">
                  <c:v>3.4847695827484131</c:v>
                </c:pt>
                <c:pt idx="385">
                  <c:v>3.43767237663269</c:v>
                </c:pt>
                <c:pt idx="386">
                  <c:v>3.840190172195435</c:v>
                </c:pt>
                <c:pt idx="387">
                  <c:v>3.946555376052856</c:v>
                </c:pt>
                <c:pt idx="388">
                  <c:v>3.7671997547149658</c:v>
                </c:pt>
                <c:pt idx="389">
                  <c:v>3.7106442451477051</c:v>
                </c:pt>
                <c:pt idx="390">
                  <c:v>3.5712766647338872</c:v>
                </c:pt>
                <c:pt idx="391">
                  <c:v>3.3882930278778081</c:v>
                </c:pt>
                <c:pt idx="392">
                  <c:v>3.2802872657775879</c:v>
                </c:pt>
                <c:pt idx="393">
                  <c:v>3.7293269634246831</c:v>
                </c:pt>
                <c:pt idx="394">
                  <c:v>3.6956038475036621</c:v>
                </c:pt>
                <c:pt idx="395">
                  <c:v>3.603050708770752</c:v>
                </c:pt>
                <c:pt idx="396">
                  <c:v>3.5432813167572021</c:v>
                </c:pt>
                <c:pt idx="397">
                  <c:v>3.5641565322875981</c:v>
                </c:pt>
                <c:pt idx="398">
                  <c:v>3.2935516834259029</c:v>
                </c:pt>
                <c:pt idx="399">
                  <c:v>3.3057389259338379</c:v>
                </c:pt>
                <c:pt idx="400">
                  <c:v>3.3423571586608891</c:v>
                </c:pt>
                <c:pt idx="401">
                  <c:v>3.5943694114685059</c:v>
                </c:pt>
                <c:pt idx="402">
                  <c:v>3.596161842346191</c:v>
                </c:pt>
                <c:pt idx="403">
                  <c:v>3.7051315307617192</c:v>
                </c:pt>
                <c:pt idx="404">
                  <c:v>3.5629985332489009</c:v>
                </c:pt>
                <c:pt idx="405">
                  <c:v>3.5379705429077148</c:v>
                </c:pt>
                <c:pt idx="406">
                  <c:v>3.4538331031799321</c:v>
                </c:pt>
                <c:pt idx="407">
                  <c:v>3.7682757377624512</c:v>
                </c:pt>
                <c:pt idx="408">
                  <c:v>3.7878673076629639</c:v>
                </c:pt>
                <c:pt idx="409">
                  <c:v>3.717293262481689</c:v>
                </c:pt>
                <c:pt idx="410">
                  <c:v>4.2119050025939941</c:v>
                </c:pt>
                <c:pt idx="411">
                  <c:v>4.2148733139038086</c:v>
                </c:pt>
                <c:pt idx="412">
                  <c:v>4.1197819709777832</c:v>
                </c:pt>
                <c:pt idx="413">
                  <c:v>3.9346275329589839</c:v>
                </c:pt>
                <c:pt idx="414">
                  <c:v>3.9820265769958501</c:v>
                </c:pt>
                <c:pt idx="415">
                  <c:v>3.7542834281921391</c:v>
                </c:pt>
                <c:pt idx="416">
                  <c:v>4.1848325729370117</c:v>
                </c:pt>
                <c:pt idx="417">
                  <c:v>4.2012605667114258</c:v>
                </c:pt>
                <c:pt idx="418">
                  <c:v>4.0243844985961914</c:v>
                </c:pt>
                <c:pt idx="419">
                  <c:v>3.9572722911834721</c:v>
                </c:pt>
                <c:pt idx="420">
                  <c:v>3.9546442031860352</c:v>
                </c:pt>
                <c:pt idx="421">
                  <c:v>3.7390017509460449</c:v>
                </c:pt>
                <c:pt idx="422">
                  <c:v>3.645390510559082</c:v>
                </c:pt>
                <c:pt idx="423">
                  <c:v>3.625651597976685</c:v>
                </c:pt>
                <c:pt idx="424">
                  <c:v>3.48173975944519</c:v>
                </c:pt>
                <c:pt idx="425">
                  <c:v>4.0318164825439453</c:v>
                </c:pt>
                <c:pt idx="426">
                  <c:v>3.9484307765960689</c:v>
                </c:pt>
                <c:pt idx="427">
                  <c:v>3.9640977382659912</c:v>
                </c:pt>
                <c:pt idx="428">
                  <c:v>3.5474917888641362</c:v>
                </c:pt>
                <c:pt idx="429">
                  <c:v>3.4700789451599121</c:v>
                </c:pt>
                <c:pt idx="430">
                  <c:v>3.6433875560760498</c:v>
                </c:pt>
                <c:pt idx="431">
                  <c:v>4.1453404426574707</c:v>
                </c:pt>
                <c:pt idx="432">
                  <c:v>4.0246109962463379</c:v>
                </c:pt>
                <c:pt idx="433">
                  <c:v>4.1073660850524902</c:v>
                </c:pt>
                <c:pt idx="434">
                  <c:v>3.7821872234344478</c:v>
                </c:pt>
                <c:pt idx="435">
                  <c:v>3.7267041206359859</c:v>
                </c:pt>
                <c:pt idx="436">
                  <c:v>3.6529355049133301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EE-4D95-8714-936EA9265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748256"/>
        <c:axId val="1183750176"/>
      </c:scatterChart>
      <c:valAx>
        <c:axId val="1183748256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SUBJECTIVE</a:t>
                </a:r>
                <a:r>
                  <a:rPr lang="it-IT" baseline="0"/>
                  <a:t> MOS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3750176"/>
        <c:crosses val="autoZero"/>
        <c:crossBetween val="midCat"/>
      </c:valAx>
      <c:valAx>
        <c:axId val="1183750176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PREDICTED MOS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374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ISTOGRAMMA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ISTOGRAMMA</a:t>
          </a:r>
        </a:p>
      </cx:txPr>
    </cx:title>
    <cx:plotArea>
      <cx:plotAreaRegion>
        <cx:series layoutId="clusteredColumn" uniqueId="{2CF75B4D-3AB8-422B-9373-2BC8DB1DA33C}">
          <cx:tx>
            <cx:txData>
              <cx:f>_xlchart.v1.2</cx:f>
              <cx:v>absolute error</cx:v>
            </cx:txData>
          </cx:tx>
          <cx:spPr>
            <a:solidFill>
              <a:srgbClr val="C00000"/>
            </a:solidFill>
            <a:ln w="3175">
              <a:solidFill>
                <a:schemeClr val="tx1"/>
              </a:solidFill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it-IT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000000000000000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9</xdr:row>
      <xdr:rowOff>165100</xdr:rowOff>
    </xdr:from>
    <xdr:to>
      <xdr:col>12</xdr:col>
      <xdr:colOff>266700</xdr:colOff>
      <xdr:row>22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FA25B25-433C-AB3C-6202-BAD0AF355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606425</xdr:colOff>
      <xdr:row>22</xdr:row>
      <xdr:rowOff>171450</xdr:rowOff>
    </xdr:from>
    <xdr:to>
      <xdr:col>12</xdr:col>
      <xdr:colOff>63500</xdr:colOff>
      <xdr:row>36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87221B6A-81AC-E35D-7D89-8A5F1C3614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6275" y="4222750"/>
              <a:ext cx="3724275" cy="24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8"/>
  <sheetViews>
    <sheetView tabSelected="1" workbookViewId="0">
      <selection activeCell="O18" sqref="O18"/>
    </sheetView>
  </sheetViews>
  <sheetFormatPr defaultRowHeight="14.5" x14ac:dyDescent="0.35"/>
  <cols>
    <col min="1" max="1" width="27.36328125" customWidth="1"/>
    <col min="2" max="2" width="14.7265625" style="2" customWidth="1"/>
    <col min="3" max="3" width="15.54296875" style="4" customWidth="1"/>
    <col min="4" max="4" width="18.90625" customWidth="1"/>
    <col min="5" max="5" width="15.36328125" customWidth="1"/>
  </cols>
  <sheetData>
    <row r="1" spans="1:13" x14ac:dyDescent="0.35">
      <c r="A1" s="1" t="s">
        <v>4</v>
      </c>
      <c r="B1" s="1" t="s">
        <v>0</v>
      </c>
      <c r="C1" s="3" t="s">
        <v>1</v>
      </c>
      <c r="D1" s="1" t="s">
        <v>2</v>
      </c>
      <c r="E1" s="1" t="s">
        <v>3</v>
      </c>
    </row>
    <row r="2" spans="1:13" x14ac:dyDescent="0.35">
      <c r="A2" t="s">
        <v>5</v>
      </c>
      <c r="B2" s="2">
        <v>4.25</v>
      </c>
      <c r="C2" s="4">
        <v>4.1506519317626953</v>
      </c>
      <c r="D2" s="4">
        <f>ABS(B2-C2)</f>
        <v>9.9348068237304688E-2</v>
      </c>
      <c r="E2" s="4">
        <f>(B2-C2)^2</f>
        <v>9.8700386624841485E-3</v>
      </c>
    </row>
    <row r="3" spans="1:13" x14ac:dyDescent="0.35">
      <c r="A3" t="s">
        <v>6</v>
      </c>
      <c r="B3" s="2">
        <v>3.86</v>
      </c>
      <c r="C3" s="4">
        <v>4.2301464080810547</v>
      </c>
      <c r="D3" s="4">
        <f t="shared" ref="D3:D66" si="0">ABS(B3-C3)</f>
        <v>0.37014640808105481</v>
      </c>
      <c r="E3" s="4">
        <f t="shared" ref="E3:E66" si="1">(B3-C3)^2</f>
        <v>0.13700836341530676</v>
      </c>
    </row>
    <row r="4" spans="1:13" x14ac:dyDescent="0.35">
      <c r="A4" t="s">
        <v>7</v>
      </c>
      <c r="B4" s="2">
        <v>2.36</v>
      </c>
      <c r="C4" s="4">
        <v>4.2551383972167969</v>
      </c>
      <c r="D4" s="4">
        <f t="shared" si="0"/>
        <v>1.895138397216797</v>
      </c>
      <c r="E4" s="4">
        <f t="shared" si="1"/>
        <v>3.5915495446054502</v>
      </c>
    </row>
    <row r="5" spans="1:13" x14ac:dyDescent="0.35">
      <c r="A5" t="s">
        <v>8</v>
      </c>
      <c r="B5" s="2">
        <v>1.5</v>
      </c>
      <c r="C5" s="4">
        <v>4.0714921951293954</v>
      </c>
      <c r="D5" s="4">
        <f t="shared" si="0"/>
        <v>2.5714921951293954</v>
      </c>
      <c r="E5" s="4">
        <f t="shared" si="1"/>
        <v>6.6125721096113965</v>
      </c>
      <c r="I5" s="5" t="s">
        <v>442</v>
      </c>
      <c r="J5" s="5" t="s">
        <v>443</v>
      </c>
      <c r="L5" s="5" t="s">
        <v>444</v>
      </c>
      <c r="M5" s="5" t="s">
        <v>445</v>
      </c>
    </row>
    <row r="6" spans="1:13" x14ac:dyDescent="0.35">
      <c r="A6" t="s">
        <v>9</v>
      </c>
      <c r="B6" s="2">
        <v>4.24</v>
      </c>
      <c r="C6" s="4">
        <v>3.8801569938659668</v>
      </c>
      <c r="D6" s="4">
        <f t="shared" si="0"/>
        <v>0.35984300613403342</v>
      </c>
      <c r="E6" s="4">
        <f t="shared" si="1"/>
        <v>0.129486989063578</v>
      </c>
      <c r="I6" s="6">
        <f>MIN(D2:D438)</f>
        <v>6.5014743804931996E-3</v>
      </c>
      <c r="J6" s="6">
        <f>MAX(D2:D438)</f>
        <v>2.6855595779418948</v>
      </c>
      <c r="L6" s="7">
        <f>CORREL(B2:B438,C2:C438)</f>
        <v>0.24869820638515791</v>
      </c>
      <c r="M6" s="7" cm="1">
        <f t="array" ref="M6">CORREL(_xlfn.RANK.AVG(B2:B438,B2:B438),_xlfn.RANK.AVG(C2:C438,C2:C438))</f>
        <v>0.27875688220227518</v>
      </c>
    </row>
    <row r="7" spans="1:13" x14ac:dyDescent="0.35">
      <c r="A7" t="s">
        <v>10</v>
      </c>
      <c r="B7" s="2">
        <v>2.9</v>
      </c>
      <c r="C7" s="4">
        <v>3.8256547451019292</v>
      </c>
      <c r="D7" s="4">
        <f t="shared" si="0"/>
        <v>0.92565474510192924</v>
      </c>
      <c r="E7" s="4">
        <f t="shared" si="1"/>
        <v>0.8568367071297176</v>
      </c>
    </row>
    <row r="8" spans="1:13" x14ac:dyDescent="0.35">
      <c r="A8" t="s">
        <v>11</v>
      </c>
      <c r="B8" s="2">
        <v>1.63</v>
      </c>
      <c r="C8" s="4">
        <v>3.7596859931945801</v>
      </c>
      <c r="D8" s="4">
        <f t="shared" si="0"/>
        <v>2.1296859931945802</v>
      </c>
      <c r="E8" s="4">
        <f t="shared" si="1"/>
        <v>4.5355624296091852</v>
      </c>
      <c r="I8" s="5" t="s">
        <v>446</v>
      </c>
      <c r="J8" s="5" t="s">
        <v>447</v>
      </c>
    </row>
    <row r="9" spans="1:13" x14ac:dyDescent="0.35">
      <c r="A9" t="s">
        <v>12</v>
      </c>
      <c r="B9" s="2">
        <v>4.3600000000000003</v>
      </c>
      <c r="C9" s="4">
        <v>4.1826353073120117</v>
      </c>
      <c r="D9" s="4">
        <f t="shared" si="0"/>
        <v>0.1773646926879886</v>
      </c>
      <c r="E9" s="4">
        <f t="shared" si="1"/>
        <v>3.1458234212304634E-2</v>
      </c>
      <c r="I9" s="6">
        <f>AVERAGE(D2:D438)</f>
        <v>0.97789562982607292</v>
      </c>
      <c r="J9" s="7">
        <f>SQRT(AVERAGE(E2:E438))</f>
        <v>1.2259267647606256</v>
      </c>
    </row>
    <row r="10" spans="1:13" x14ac:dyDescent="0.35">
      <c r="A10" t="s">
        <v>13</v>
      </c>
      <c r="B10" s="2">
        <v>3.98</v>
      </c>
      <c r="C10" s="4">
        <v>4.086367130279541</v>
      </c>
      <c r="D10" s="4">
        <f t="shared" si="0"/>
        <v>0.10636713027954103</v>
      </c>
      <c r="E10" s="4">
        <f t="shared" si="1"/>
        <v>1.1313966403904856E-2</v>
      </c>
    </row>
    <row r="11" spans="1:13" x14ac:dyDescent="0.35">
      <c r="A11" t="s">
        <v>14</v>
      </c>
      <c r="B11" s="2">
        <v>3.29</v>
      </c>
      <c r="C11" s="4">
        <v>4.1227827072143546</v>
      </c>
      <c r="D11" s="4">
        <f t="shared" si="0"/>
        <v>0.83278270721435455</v>
      </c>
      <c r="E11" s="4">
        <f t="shared" si="1"/>
        <v>0.69352703743526933</v>
      </c>
    </row>
    <row r="12" spans="1:13" x14ac:dyDescent="0.35">
      <c r="A12" t="s">
        <v>15</v>
      </c>
      <c r="B12" s="2">
        <v>2.0499999999999998</v>
      </c>
      <c r="C12" s="4">
        <v>3.9769966602325439</v>
      </c>
      <c r="D12" s="4">
        <f t="shared" si="0"/>
        <v>1.9269966602325441</v>
      </c>
      <c r="E12" s="4">
        <f t="shared" si="1"/>
        <v>3.7133161285473792</v>
      </c>
    </row>
    <row r="13" spans="1:13" x14ac:dyDescent="0.35">
      <c r="A13" t="s">
        <v>16</v>
      </c>
      <c r="B13" s="2">
        <v>1.29</v>
      </c>
      <c r="C13" s="4">
        <v>3.8169572353363042</v>
      </c>
      <c r="D13" s="4">
        <f t="shared" si="0"/>
        <v>2.5269572353363041</v>
      </c>
      <c r="E13" s="4">
        <f t="shared" si="1"/>
        <v>6.3855128692184975</v>
      </c>
    </row>
    <row r="14" spans="1:13" x14ac:dyDescent="0.35">
      <c r="A14" t="s">
        <v>17</v>
      </c>
      <c r="B14" s="2">
        <v>4.22</v>
      </c>
      <c r="C14" s="4">
        <v>3.761616706848145</v>
      </c>
      <c r="D14" s="4">
        <f t="shared" si="0"/>
        <v>0.45838329315185478</v>
      </c>
      <c r="E14" s="4">
        <f t="shared" si="1"/>
        <v>0.21011524344073923</v>
      </c>
    </row>
    <row r="15" spans="1:13" x14ac:dyDescent="0.35">
      <c r="A15" t="s">
        <v>18</v>
      </c>
      <c r="B15" s="2">
        <v>3.77</v>
      </c>
      <c r="C15" s="4">
        <v>3.8827745914459229</v>
      </c>
      <c r="D15" s="4">
        <f t="shared" si="0"/>
        <v>0.11277459144592283</v>
      </c>
      <c r="E15" s="4">
        <f t="shared" si="1"/>
        <v>1.2718108475794812E-2</v>
      </c>
    </row>
    <row r="16" spans="1:13" x14ac:dyDescent="0.35">
      <c r="A16" t="s">
        <v>19</v>
      </c>
      <c r="B16" s="2">
        <v>2.78</v>
      </c>
      <c r="C16" s="4">
        <v>3.6804912090301509</v>
      </c>
      <c r="D16" s="4">
        <f t="shared" si="0"/>
        <v>0.90049120903015112</v>
      </c>
      <c r="E16" s="4">
        <f t="shared" si="1"/>
        <v>0.81088441754058327</v>
      </c>
    </row>
    <row r="17" spans="1:5" x14ac:dyDescent="0.35">
      <c r="A17" t="s">
        <v>20</v>
      </c>
      <c r="B17" s="2">
        <v>1.53</v>
      </c>
      <c r="C17" s="4">
        <v>3.5682880878448491</v>
      </c>
      <c r="D17" s="4">
        <f t="shared" si="0"/>
        <v>2.0382880878448493</v>
      </c>
      <c r="E17" s="4">
        <f t="shared" si="1"/>
        <v>4.1546183290502121</v>
      </c>
    </row>
    <row r="18" spans="1:5" x14ac:dyDescent="0.35">
      <c r="A18" t="s">
        <v>21</v>
      </c>
      <c r="B18" s="2">
        <v>4.3899999999999997</v>
      </c>
      <c r="C18" s="4">
        <v>3.9562113285064702</v>
      </c>
      <c r="D18" s="4">
        <f t="shared" si="0"/>
        <v>0.43378867149352951</v>
      </c>
      <c r="E18" s="4">
        <f t="shared" si="1"/>
        <v>0.18817261151612127</v>
      </c>
    </row>
    <row r="19" spans="1:5" x14ac:dyDescent="0.35">
      <c r="A19" t="s">
        <v>22</v>
      </c>
      <c r="B19" s="2">
        <v>3.88</v>
      </c>
      <c r="C19" s="4">
        <v>4.0729613304138184</v>
      </c>
      <c r="D19" s="4">
        <f t="shared" si="0"/>
        <v>0.19296133041381847</v>
      </c>
      <c r="E19" s="4">
        <f t="shared" si="1"/>
        <v>3.7234075035070827E-2</v>
      </c>
    </row>
    <row r="20" spans="1:5" x14ac:dyDescent="0.35">
      <c r="A20" t="s">
        <v>23</v>
      </c>
      <c r="B20" s="2">
        <v>2.63</v>
      </c>
      <c r="C20" s="4">
        <v>4.0786662101745614</v>
      </c>
      <c r="D20" s="4">
        <f t="shared" si="0"/>
        <v>1.4486662101745615</v>
      </c>
      <c r="E20" s="4">
        <f t="shared" si="1"/>
        <v>2.0986337885015267</v>
      </c>
    </row>
    <row r="21" spans="1:5" x14ac:dyDescent="0.35">
      <c r="A21" t="s">
        <v>24</v>
      </c>
      <c r="B21" s="2">
        <v>1.75</v>
      </c>
      <c r="C21" s="4">
        <v>3.979723215103149</v>
      </c>
      <c r="D21" s="4">
        <f t="shared" si="0"/>
        <v>2.229723215103149</v>
      </c>
      <c r="E21" s="4">
        <f t="shared" si="1"/>
        <v>4.9716656159699237</v>
      </c>
    </row>
    <row r="22" spans="1:5" x14ac:dyDescent="0.35">
      <c r="A22" t="s">
        <v>25</v>
      </c>
      <c r="B22" s="2">
        <v>4.18</v>
      </c>
      <c r="C22" s="4">
        <v>3.428709745407104</v>
      </c>
      <c r="D22" s="4">
        <f t="shared" si="0"/>
        <v>0.75129025459289567</v>
      </c>
      <c r="E22" s="4">
        <f t="shared" si="1"/>
        <v>0.56443704664625804</v>
      </c>
    </row>
    <row r="23" spans="1:5" x14ac:dyDescent="0.35">
      <c r="A23" t="s">
        <v>26</v>
      </c>
      <c r="B23" s="2">
        <v>3.04</v>
      </c>
      <c r="C23" s="4">
        <v>3.5577094554901119</v>
      </c>
      <c r="D23" s="4">
        <f t="shared" si="0"/>
        <v>0.51770945549011183</v>
      </c>
      <c r="E23" s="4">
        <f t="shared" si="1"/>
        <v>0.26802308030386807</v>
      </c>
    </row>
    <row r="24" spans="1:5" x14ac:dyDescent="0.35">
      <c r="A24" t="s">
        <v>27</v>
      </c>
      <c r="B24" s="2">
        <v>2.37</v>
      </c>
      <c r="C24" s="4">
        <v>3.5646519660949711</v>
      </c>
      <c r="D24" s="4">
        <f t="shared" si="0"/>
        <v>1.194651966094971</v>
      </c>
      <c r="E24" s="4">
        <f t="shared" si="1"/>
        <v>1.4271933200945799</v>
      </c>
    </row>
    <row r="25" spans="1:5" x14ac:dyDescent="0.35">
      <c r="A25" t="s">
        <v>28</v>
      </c>
      <c r="B25" s="2">
        <v>4.26</v>
      </c>
      <c r="C25" s="4">
        <v>4.1678800582885742</v>
      </c>
      <c r="D25" s="4">
        <f t="shared" si="0"/>
        <v>9.2119941711425568E-2</v>
      </c>
      <c r="E25" s="4">
        <f t="shared" si="1"/>
        <v>8.486083660916445E-3</v>
      </c>
    </row>
    <row r="26" spans="1:5" x14ac:dyDescent="0.35">
      <c r="A26" t="s">
        <v>29</v>
      </c>
      <c r="B26" s="2">
        <v>3.61</v>
      </c>
      <c r="C26" s="4">
        <v>4.1255283355712891</v>
      </c>
      <c r="D26" s="4">
        <f t="shared" si="0"/>
        <v>0.51552833557128919</v>
      </c>
      <c r="E26" s="4">
        <f t="shared" si="1"/>
        <v>0.26576946477690377</v>
      </c>
    </row>
    <row r="27" spans="1:5" x14ac:dyDescent="0.35">
      <c r="A27" t="s">
        <v>30</v>
      </c>
      <c r="B27" s="2">
        <v>2.2799999999999998</v>
      </c>
      <c r="C27" s="4">
        <v>4.1331963539123544</v>
      </c>
      <c r="D27" s="4">
        <f t="shared" si="0"/>
        <v>1.8531963539123546</v>
      </c>
      <c r="E27" s="4">
        <f t="shared" si="1"/>
        <v>3.4343367261540449</v>
      </c>
    </row>
    <row r="28" spans="1:5" x14ac:dyDescent="0.35">
      <c r="A28" t="s">
        <v>31</v>
      </c>
      <c r="B28" s="2">
        <v>1.51</v>
      </c>
      <c r="C28" s="4">
        <v>4.0741639137268066</v>
      </c>
      <c r="D28" s="4">
        <f t="shared" si="0"/>
        <v>2.5641639137268069</v>
      </c>
      <c r="E28" s="4">
        <f t="shared" si="1"/>
        <v>6.5749365764587751</v>
      </c>
    </row>
    <row r="29" spans="1:5" x14ac:dyDescent="0.35">
      <c r="A29" t="s">
        <v>32</v>
      </c>
      <c r="B29" s="2">
        <v>4.28</v>
      </c>
      <c r="C29" s="4">
        <v>3.6730432510375981</v>
      </c>
      <c r="D29" s="4">
        <f t="shared" si="0"/>
        <v>0.60695674896240215</v>
      </c>
      <c r="E29" s="4">
        <f t="shared" si="1"/>
        <v>0.36839649511100847</v>
      </c>
    </row>
    <row r="30" spans="1:5" x14ac:dyDescent="0.35">
      <c r="A30" t="s">
        <v>33</v>
      </c>
      <c r="B30" s="2">
        <v>3.14</v>
      </c>
      <c r="C30" s="4">
        <v>3.805944442749023</v>
      </c>
      <c r="D30" s="4">
        <f t="shared" si="0"/>
        <v>0.66594444274902287</v>
      </c>
      <c r="E30" s="4">
        <f t="shared" si="1"/>
        <v>0.44348200082830658</v>
      </c>
    </row>
    <row r="31" spans="1:5" x14ac:dyDescent="0.35">
      <c r="A31" t="s">
        <v>34</v>
      </c>
      <c r="B31" s="2">
        <v>2.0699999999999998</v>
      </c>
      <c r="C31" s="4">
        <v>3.7610383033752441</v>
      </c>
      <c r="D31" s="4">
        <f t="shared" si="0"/>
        <v>1.6910383033752443</v>
      </c>
      <c r="E31" s="4">
        <f t="shared" si="1"/>
        <v>2.859610543482225</v>
      </c>
    </row>
    <row r="32" spans="1:5" x14ac:dyDescent="0.35">
      <c r="A32" t="s">
        <v>35</v>
      </c>
      <c r="B32" s="2">
        <v>3.92</v>
      </c>
      <c r="C32" s="4">
        <v>3.475328922271729</v>
      </c>
      <c r="D32" s="4">
        <f t="shared" si="0"/>
        <v>0.44467107772827097</v>
      </c>
      <c r="E32" s="4">
        <f t="shared" si="1"/>
        <v>0.19773236736802199</v>
      </c>
    </row>
    <row r="33" spans="1:5" x14ac:dyDescent="0.35">
      <c r="A33" t="s">
        <v>36</v>
      </c>
      <c r="B33" s="2">
        <v>3.82</v>
      </c>
      <c r="C33" s="4">
        <v>3.4664607048034668</v>
      </c>
      <c r="D33" s="4">
        <f t="shared" si="0"/>
        <v>0.35353929519653304</v>
      </c>
      <c r="E33" s="4">
        <f t="shared" si="1"/>
        <v>0.12499003324806134</v>
      </c>
    </row>
    <row r="34" spans="1:5" x14ac:dyDescent="0.35">
      <c r="A34" t="s">
        <v>37</v>
      </c>
      <c r="B34" s="2">
        <v>1.88</v>
      </c>
      <c r="C34" s="4">
        <v>3.5633013248443599</v>
      </c>
      <c r="D34" s="4">
        <f t="shared" si="0"/>
        <v>1.68330132484436</v>
      </c>
      <c r="E34" s="4">
        <f t="shared" si="1"/>
        <v>2.8335033502227778</v>
      </c>
    </row>
    <row r="35" spans="1:5" x14ac:dyDescent="0.35">
      <c r="A35" t="s">
        <v>38</v>
      </c>
      <c r="B35" s="2">
        <v>4.25</v>
      </c>
      <c r="C35" s="4">
        <v>3.8321928977966309</v>
      </c>
      <c r="D35" s="4">
        <f t="shared" si="0"/>
        <v>0.41780710220336914</v>
      </c>
      <c r="E35" s="4">
        <f t="shared" si="1"/>
        <v>0.17456277465157655</v>
      </c>
    </row>
    <row r="36" spans="1:5" x14ac:dyDescent="0.35">
      <c r="A36" t="s">
        <v>39</v>
      </c>
      <c r="B36" s="2">
        <v>3.53</v>
      </c>
      <c r="C36" s="4">
        <v>3.779744148254395</v>
      </c>
      <c r="D36" s="4">
        <f t="shared" si="0"/>
        <v>0.24974414825439517</v>
      </c>
      <c r="E36" s="4">
        <f t="shared" si="1"/>
        <v>6.2372139587313316E-2</v>
      </c>
    </row>
    <row r="37" spans="1:5" x14ac:dyDescent="0.35">
      <c r="A37" t="s">
        <v>40</v>
      </c>
      <c r="B37" s="2">
        <v>1.59</v>
      </c>
      <c r="C37" s="4">
        <v>3.7147586345672612</v>
      </c>
      <c r="D37" s="4">
        <f t="shared" si="0"/>
        <v>2.1247586345672609</v>
      </c>
      <c r="E37" s="4">
        <f t="shared" si="1"/>
        <v>4.5145992551681307</v>
      </c>
    </row>
    <row r="38" spans="1:5" x14ac:dyDescent="0.35">
      <c r="A38" t="s">
        <v>41</v>
      </c>
      <c r="B38" s="2">
        <v>3.86</v>
      </c>
      <c r="C38" s="4">
        <v>3.390902042388916</v>
      </c>
      <c r="D38" s="4">
        <f t="shared" si="0"/>
        <v>0.46909795761108386</v>
      </c>
      <c r="E38" s="4">
        <f t="shared" si="1"/>
        <v>0.22005289383489024</v>
      </c>
    </row>
    <row r="39" spans="1:5" x14ac:dyDescent="0.35">
      <c r="A39" t="s">
        <v>42</v>
      </c>
      <c r="B39" s="2">
        <v>3.55</v>
      </c>
      <c r="C39" s="4">
        <v>3.5079505443572998</v>
      </c>
      <c r="D39" s="4">
        <f t="shared" si="0"/>
        <v>4.2049455642700018E-2</v>
      </c>
      <c r="E39" s="4">
        <f t="shared" si="1"/>
        <v>1.7681567198473964E-3</v>
      </c>
    </row>
    <row r="40" spans="1:5" x14ac:dyDescent="0.35">
      <c r="A40" t="s">
        <v>43</v>
      </c>
      <c r="B40" s="2">
        <v>1.81</v>
      </c>
      <c r="C40" s="4">
        <v>3.2715597152709961</v>
      </c>
      <c r="D40" s="4">
        <f t="shared" si="0"/>
        <v>1.461559715270996</v>
      </c>
      <c r="E40" s="4">
        <f t="shared" si="1"/>
        <v>2.1361568013030352</v>
      </c>
    </row>
    <row r="41" spans="1:5" x14ac:dyDescent="0.35">
      <c r="A41" t="s">
        <v>44</v>
      </c>
      <c r="B41" s="2">
        <v>1.28</v>
      </c>
      <c r="C41" s="4">
        <v>3.2490451335906978</v>
      </c>
      <c r="D41" s="4">
        <f t="shared" si="0"/>
        <v>1.9690451335906978</v>
      </c>
      <c r="E41" s="4">
        <f t="shared" si="1"/>
        <v>3.8771387381172087</v>
      </c>
    </row>
    <row r="42" spans="1:5" x14ac:dyDescent="0.35">
      <c r="A42" t="s">
        <v>45</v>
      </c>
      <c r="B42" s="2">
        <v>4.5999999999999996</v>
      </c>
      <c r="C42" s="4">
        <v>3.7531585693359379</v>
      </c>
      <c r="D42" s="4">
        <f t="shared" si="0"/>
        <v>0.8468414306640617</v>
      </c>
      <c r="E42" s="4">
        <f t="shared" si="1"/>
        <v>0.71714040868915485</v>
      </c>
    </row>
    <row r="43" spans="1:5" x14ac:dyDescent="0.35">
      <c r="A43" t="s">
        <v>46</v>
      </c>
      <c r="B43" s="2">
        <v>4.04</v>
      </c>
      <c r="C43" s="4">
        <v>3.6930630207061772</v>
      </c>
      <c r="D43" s="4">
        <f t="shared" si="0"/>
        <v>0.34693697929382283</v>
      </c>
      <c r="E43" s="4">
        <f t="shared" si="1"/>
        <v>0.12036526760152245</v>
      </c>
    </row>
    <row r="44" spans="1:5" x14ac:dyDescent="0.35">
      <c r="A44" t="s">
        <v>47</v>
      </c>
      <c r="B44" s="2">
        <v>2.58</v>
      </c>
      <c r="C44" s="4">
        <v>3.635633230209351</v>
      </c>
      <c r="D44" s="4">
        <f t="shared" si="0"/>
        <v>1.055633230209351</v>
      </c>
      <c r="E44" s="4">
        <f t="shared" si="1"/>
        <v>1.1143615167222285</v>
      </c>
    </row>
    <row r="45" spans="1:5" x14ac:dyDescent="0.35">
      <c r="A45" t="s">
        <v>48</v>
      </c>
      <c r="B45" s="2">
        <v>1.35</v>
      </c>
      <c r="C45" s="4">
        <v>3.530870676040649</v>
      </c>
      <c r="D45" s="4">
        <f t="shared" si="0"/>
        <v>2.1808706760406489</v>
      </c>
      <c r="E45" s="4">
        <f t="shared" si="1"/>
        <v>4.7561969056139972</v>
      </c>
    </row>
    <row r="46" spans="1:5" x14ac:dyDescent="0.35">
      <c r="A46" t="s">
        <v>49</v>
      </c>
      <c r="B46" s="2">
        <v>1.19</v>
      </c>
      <c r="C46" s="4">
        <v>3.379885196685791</v>
      </c>
      <c r="D46" s="4">
        <f t="shared" si="0"/>
        <v>2.1898851966857911</v>
      </c>
      <c r="E46" s="4">
        <f t="shared" si="1"/>
        <v>4.7955971746635662</v>
      </c>
    </row>
    <row r="47" spans="1:5" x14ac:dyDescent="0.35">
      <c r="A47" t="s">
        <v>50</v>
      </c>
      <c r="B47" s="2">
        <v>3.44</v>
      </c>
      <c r="C47" s="4">
        <v>2.917099237442017</v>
      </c>
      <c r="D47" s="4">
        <f t="shared" si="0"/>
        <v>0.5229007625579829</v>
      </c>
      <c r="E47" s="4">
        <f t="shared" si="1"/>
        <v>0.27342520748372001</v>
      </c>
    </row>
    <row r="48" spans="1:5" x14ac:dyDescent="0.35">
      <c r="A48" t="s">
        <v>51</v>
      </c>
      <c r="B48" s="2">
        <v>3.24</v>
      </c>
      <c r="C48" s="4">
        <v>3.2191660404205318</v>
      </c>
      <c r="D48" s="4">
        <f t="shared" si="0"/>
        <v>2.0833959579468431E-2</v>
      </c>
      <c r="E48" s="4">
        <f t="shared" si="1"/>
        <v>4.3405387175892438E-4</v>
      </c>
    </row>
    <row r="49" spans="1:5" x14ac:dyDescent="0.35">
      <c r="A49" t="s">
        <v>52</v>
      </c>
      <c r="B49" s="2">
        <v>2.46</v>
      </c>
      <c r="C49" s="4">
        <v>3.2438557147979741</v>
      </c>
      <c r="D49" s="4">
        <f t="shared" si="0"/>
        <v>0.78385571479797411</v>
      </c>
      <c r="E49" s="4">
        <f t="shared" si="1"/>
        <v>0.61442978162144291</v>
      </c>
    </row>
    <row r="50" spans="1:5" x14ac:dyDescent="0.35">
      <c r="A50" t="s">
        <v>53</v>
      </c>
      <c r="B50" s="2">
        <v>3.73</v>
      </c>
      <c r="C50" s="4">
        <v>3.377435684204102</v>
      </c>
      <c r="D50" s="4">
        <f t="shared" si="0"/>
        <v>0.35256431579589798</v>
      </c>
      <c r="E50" s="4">
        <f t="shared" si="1"/>
        <v>0.12430159677262967</v>
      </c>
    </row>
    <row r="51" spans="1:5" x14ac:dyDescent="0.35">
      <c r="A51" t="s">
        <v>54</v>
      </c>
      <c r="B51" s="2">
        <v>3.27</v>
      </c>
      <c r="C51" s="4">
        <v>3.535312414169312</v>
      </c>
      <c r="D51" s="4">
        <f t="shared" si="0"/>
        <v>0.26531241416931195</v>
      </c>
      <c r="E51" s="4">
        <f t="shared" si="1"/>
        <v>7.0390677112348518E-2</v>
      </c>
    </row>
    <row r="52" spans="1:5" x14ac:dyDescent="0.35">
      <c r="A52" t="s">
        <v>55</v>
      </c>
      <c r="B52" s="2">
        <v>2.17</v>
      </c>
      <c r="C52" s="4">
        <v>3.4880578517913818</v>
      </c>
      <c r="D52" s="4">
        <f t="shared" si="0"/>
        <v>1.3180578517913819</v>
      </c>
      <c r="E52" s="4">
        <f t="shared" si="1"/>
        <v>1.7372765006689124</v>
      </c>
    </row>
    <row r="53" spans="1:5" x14ac:dyDescent="0.35">
      <c r="A53" t="s">
        <v>56</v>
      </c>
      <c r="B53" s="2">
        <v>4.0999999999999996</v>
      </c>
      <c r="C53" s="4">
        <v>3.4066464900970459</v>
      </c>
      <c r="D53" s="4">
        <f t="shared" si="0"/>
        <v>0.69335350990295375</v>
      </c>
      <c r="E53" s="4">
        <f t="shared" si="1"/>
        <v>0.48073908969474538</v>
      </c>
    </row>
    <row r="54" spans="1:5" x14ac:dyDescent="0.35">
      <c r="A54" t="s">
        <v>57</v>
      </c>
      <c r="B54" s="2">
        <v>3.92</v>
      </c>
      <c r="C54" s="4">
        <v>3.49513840675354</v>
      </c>
      <c r="D54" s="4">
        <f t="shared" si="0"/>
        <v>0.42486159324645989</v>
      </c>
      <c r="E54" s="4">
        <f t="shared" si="1"/>
        <v>0.18050737341592032</v>
      </c>
    </row>
    <row r="55" spans="1:5" x14ac:dyDescent="0.35">
      <c r="A55" t="s">
        <v>58</v>
      </c>
      <c r="B55" s="2">
        <v>2.54</v>
      </c>
      <c r="C55" s="4">
        <v>3.469816923141479</v>
      </c>
      <c r="D55" s="4">
        <f t="shared" si="0"/>
        <v>0.92981692314147901</v>
      </c>
      <c r="E55" s="4">
        <f t="shared" si="1"/>
        <v>0.86455951056028713</v>
      </c>
    </row>
    <row r="56" spans="1:5" x14ac:dyDescent="0.35">
      <c r="A56" t="s">
        <v>59</v>
      </c>
      <c r="B56" s="2">
        <v>4.2699999999999996</v>
      </c>
      <c r="C56" s="4">
        <v>3.7597041130065918</v>
      </c>
      <c r="D56" s="4">
        <f t="shared" si="0"/>
        <v>0.51029588699340778</v>
      </c>
      <c r="E56" s="4">
        <f t="shared" si="1"/>
        <v>0.2604018922823888</v>
      </c>
    </row>
    <row r="57" spans="1:5" x14ac:dyDescent="0.35">
      <c r="A57" t="s">
        <v>60</v>
      </c>
      <c r="B57" s="2">
        <v>3.71</v>
      </c>
      <c r="C57" s="4">
        <v>3.7165014743804932</v>
      </c>
      <c r="D57" s="4">
        <f t="shared" si="0"/>
        <v>6.5014743804931996E-3</v>
      </c>
      <c r="E57" s="4">
        <f t="shared" si="1"/>
        <v>4.2269169120209432E-5</v>
      </c>
    </row>
    <row r="58" spans="1:5" x14ac:dyDescent="0.35">
      <c r="A58" t="s">
        <v>61</v>
      </c>
      <c r="B58" s="2">
        <v>2.0699999999999998</v>
      </c>
      <c r="C58" s="4">
        <v>3.708464622497559</v>
      </c>
      <c r="D58" s="4">
        <f t="shared" si="0"/>
        <v>1.6384646224975592</v>
      </c>
      <c r="E58" s="4">
        <f t="shared" si="1"/>
        <v>2.6845663191760694</v>
      </c>
    </row>
    <row r="59" spans="1:5" x14ac:dyDescent="0.35">
      <c r="A59" t="s">
        <v>62</v>
      </c>
      <c r="B59" s="2">
        <v>4.2</v>
      </c>
      <c r="C59" s="4">
        <v>3.5419635772705078</v>
      </c>
      <c r="D59" s="4">
        <f t="shared" si="0"/>
        <v>0.65803642272949237</v>
      </c>
      <c r="E59" s="4">
        <f t="shared" si="1"/>
        <v>0.43301193363862717</v>
      </c>
    </row>
    <row r="60" spans="1:5" x14ac:dyDescent="0.35">
      <c r="A60" t="s">
        <v>63</v>
      </c>
      <c r="B60" s="2">
        <v>2.98</v>
      </c>
      <c r="C60" s="4">
        <v>3.551750659942627</v>
      </c>
      <c r="D60" s="4">
        <f t="shared" si="0"/>
        <v>0.57175065994262697</v>
      </c>
      <c r="E60" s="4">
        <f t="shared" si="1"/>
        <v>0.32689881714482949</v>
      </c>
    </row>
    <row r="61" spans="1:5" x14ac:dyDescent="0.35">
      <c r="A61" t="s">
        <v>64</v>
      </c>
      <c r="B61" s="2">
        <v>2.13</v>
      </c>
      <c r="C61" s="4">
        <v>3.55525803565979</v>
      </c>
      <c r="D61" s="4">
        <f t="shared" si="0"/>
        <v>1.4252580356597901</v>
      </c>
      <c r="E61" s="4">
        <f t="shared" si="1"/>
        <v>2.0313604682128035</v>
      </c>
    </row>
    <row r="62" spans="1:5" x14ac:dyDescent="0.35">
      <c r="A62" t="s">
        <v>65</v>
      </c>
      <c r="B62" s="2">
        <v>4.3</v>
      </c>
      <c r="C62" s="4">
        <v>3.9291162490844731</v>
      </c>
      <c r="D62" s="4">
        <f t="shared" si="0"/>
        <v>0.37088375091552672</v>
      </c>
      <c r="E62" s="4">
        <f t="shared" si="1"/>
        <v>0.13755475669317047</v>
      </c>
    </row>
    <row r="63" spans="1:5" x14ac:dyDescent="0.35">
      <c r="A63" t="s">
        <v>66</v>
      </c>
      <c r="B63" s="2">
        <v>2.31</v>
      </c>
      <c r="C63" s="4">
        <v>3.888934850692749</v>
      </c>
      <c r="D63" s="4">
        <f t="shared" si="0"/>
        <v>1.578934850692749</v>
      </c>
      <c r="E63" s="4">
        <f t="shared" si="1"/>
        <v>2.4930352627321333</v>
      </c>
    </row>
    <row r="64" spans="1:5" x14ac:dyDescent="0.35">
      <c r="A64" t="s">
        <v>67</v>
      </c>
      <c r="B64" s="2">
        <v>1.76</v>
      </c>
      <c r="C64" s="4">
        <v>3.976610422134399</v>
      </c>
      <c r="D64" s="4">
        <f t="shared" si="0"/>
        <v>2.2166104221343987</v>
      </c>
      <c r="E64" s="4">
        <f t="shared" si="1"/>
        <v>4.9133617635148372</v>
      </c>
    </row>
    <row r="65" spans="1:5" x14ac:dyDescent="0.35">
      <c r="A65" t="s">
        <v>68</v>
      </c>
      <c r="B65" s="2">
        <v>4.16</v>
      </c>
      <c r="C65" s="4">
        <v>3.4682495594024658</v>
      </c>
      <c r="D65" s="4">
        <f t="shared" si="0"/>
        <v>0.69175044059753432</v>
      </c>
      <c r="E65" s="4">
        <f t="shared" si="1"/>
        <v>0.47851867206688287</v>
      </c>
    </row>
    <row r="66" spans="1:5" x14ac:dyDescent="0.35">
      <c r="A66" t="s">
        <v>69</v>
      </c>
      <c r="B66" s="2">
        <v>2.44</v>
      </c>
      <c r="C66" s="4">
        <v>3.4018619060516362</v>
      </c>
      <c r="D66" s="4">
        <f t="shared" si="0"/>
        <v>0.96186190605163624</v>
      </c>
      <c r="E66" s="4">
        <f t="shared" si="1"/>
        <v>0.92517832631328667</v>
      </c>
    </row>
    <row r="67" spans="1:5" x14ac:dyDescent="0.35">
      <c r="A67" t="s">
        <v>70</v>
      </c>
      <c r="B67" s="2">
        <v>1.72</v>
      </c>
      <c r="C67" s="4">
        <v>3.327813863754272</v>
      </c>
      <c r="D67" s="4">
        <f t="shared" ref="D67:D130" si="2">ABS(B67-C67)</f>
        <v>1.607813863754272</v>
      </c>
      <c r="E67" s="4">
        <f t="shared" ref="E67:E130" si="3">(B67-C67)^2</f>
        <v>2.5850654204804409</v>
      </c>
    </row>
    <row r="68" spans="1:5" x14ac:dyDescent="0.35">
      <c r="A68" t="s">
        <v>71</v>
      </c>
      <c r="B68" s="2">
        <v>4.6100000000000003</v>
      </c>
      <c r="C68" s="4">
        <v>3.8599872589111328</v>
      </c>
      <c r="D68" s="4">
        <f t="shared" si="2"/>
        <v>0.75001274108886751</v>
      </c>
      <c r="E68" s="4">
        <f t="shared" si="3"/>
        <v>0.56251911179563663</v>
      </c>
    </row>
    <row r="69" spans="1:5" x14ac:dyDescent="0.35">
      <c r="A69" t="s">
        <v>72</v>
      </c>
      <c r="B69" s="2">
        <v>4</v>
      </c>
      <c r="C69" s="4">
        <v>3.807208776473999</v>
      </c>
      <c r="D69" s="4">
        <f t="shared" si="2"/>
        <v>0.19279122352600098</v>
      </c>
      <c r="E69" s="4">
        <f t="shared" si="3"/>
        <v>3.7168455868652472E-2</v>
      </c>
    </row>
    <row r="70" spans="1:5" x14ac:dyDescent="0.35">
      <c r="A70" t="s">
        <v>73</v>
      </c>
      <c r="B70" s="2">
        <v>2.41</v>
      </c>
      <c r="C70" s="4">
        <v>3.7368569374084468</v>
      </c>
      <c r="D70" s="4">
        <f t="shared" si="2"/>
        <v>1.3268569374084467</v>
      </c>
      <c r="E70" s="4">
        <f t="shared" si="3"/>
        <v>1.7605493323489225</v>
      </c>
    </row>
    <row r="71" spans="1:5" x14ac:dyDescent="0.35">
      <c r="A71" t="s">
        <v>74</v>
      </c>
      <c r="B71" s="2">
        <v>1.67</v>
      </c>
      <c r="C71" s="4">
        <v>3.645865678787231</v>
      </c>
      <c r="D71" s="4">
        <f t="shared" si="2"/>
        <v>1.9758656787872311</v>
      </c>
      <c r="E71" s="4">
        <f t="shared" si="3"/>
        <v>3.9040451806093253</v>
      </c>
    </row>
    <row r="72" spans="1:5" x14ac:dyDescent="0.35">
      <c r="A72" t="s">
        <v>75</v>
      </c>
      <c r="B72" s="2">
        <v>1.1499999999999999</v>
      </c>
      <c r="C72" s="4">
        <v>3.4869873523712158</v>
      </c>
      <c r="D72" s="4">
        <f t="shared" si="2"/>
        <v>2.3369873523712159</v>
      </c>
      <c r="E72" s="4">
        <f t="shared" si="3"/>
        <v>5.4615098851430259</v>
      </c>
    </row>
    <row r="73" spans="1:5" x14ac:dyDescent="0.35">
      <c r="A73" t="s">
        <v>76</v>
      </c>
      <c r="B73" s="2">
        <v>4.3899999999999997</v>
      </c>
      <c r="C73" s="4">
        <v>2.8998956680297852</v>
      </c>
      <c r="D73" s="4">
        <f t="shared" si="2"/>
        <v>1.4901043319702145</v>
      </c>
      <c r="E73" s="4">
        <f t="shared" si="3"/>
        <v>2.2204109201563993</v>
      </c>
    </row>
    <row r="74" spans="1:5" x14ac:dyDescent="0.35">
      <c r="A74" t="s">
        <v>77</v>
      </c>
      <c r="B74" s="2">
        <v>3.96</v>
      </c>
      <c r="C74" s="4">
        <v>3.066369771957397</v>
      </c>
      <c r="D74" s="4">
        <f t="shared" si="2"/>
        <v>0.89363022804260295</v>
      </c>
      <c r="E74" s="4">
        <f t="shared" si="3"/>
        <v>0.79857498447147457</v>
      </c>
    </row>
    <row r="75" spans="1:5" x14ac:dyDescent="0.35">
      <c r="A75" t="s">
        <v>78</v>
      </c>
      <c r="B75" s="2">
        <v>2.93</v>
      </c>
      <c r="C75" s="4">
        <v>3.2062067985534668</v>
      </c>
      <c r="D75" s="4">
        <f t="shared" si="2"/>
        <v>0.27620679855346664</v>
      </c>
      <c r="E75" s="4">
        <f t="shared" si="3"/>
        <v>7.62901955671553E-2</v>
      </c>
    </row>
    <row r="76" spans="1:5" x14ac:dyDescent="0.35">
      <c r="A76" t="s">
        <v>79</v>
      </c>
      <c r="B76" s="2">
        <v>4.05</v>
      </c>
      <c r="C76" s="4">
        <v>3.4411106109619141</v>
      </c>
      <c r="D76" s="4">
        <f t="shared" si="2"/>
        <v>0.60888938903808576</v>
      </c>
      <c r="E76" s="4">
        <f t="shared" si="3"/>
        <v>0.37074628808317334</v>
      </c>
    </row>
    <row r="77" spans="1:5" x14ac:dyDescent="0.35">
      <c r="A77" t="s">
        <v>80</v>
      </c>
      <c r="B77" s="2">
        <v>3.43</v>
      </c>
      <c r="C77" s="4">
        <v>3.5372989177703862</v>
      </c>
      <c r="D77" s="4">
        <f t="shared" si="2"/>
        <v>0.10729891777038603</v>
      </c>
      <c r="E77" s="4">
        <f t="shared" si="3"/>
        <v>1.1513057754696063E-2</v>
      </c>
    </row>
    <row r="78" spans="1:5" x14ac:dyDescent="0.35">
      <c r="A78" t="s">
        <v>81</v>
      </c>
      <c r="B78" s="2">
        <v>2.8</v>
      </c>
      <c r="C78" s="4">
        <v>3.537450790405273</v>
      </c>
      <c r="D78" s="4">
        <f t="shared" si="2"/>
        <v>0.73745079040527317</v>
      </c>
      <c r="E78" s="4">
        <f t="shared" si="3"/>
        <v>0.54383366826936219</v>
      </c>
    </row>
    <row r="79" spans="1:5" x14ac:dyDescent="0.35">
      <c r="A79" t="s">
        <v>82</v>
      </c>
      <c r="B79" s="2">
        <v>4.1399999999999997</v>
      </c>
      <c r="C79" s="4">
        <v>3.364669561386108</v>
      </c>
      <c r="D79" s="4">
        <f t="shared" si="2"/>
        <v>0.77533043861389173</v>
      </c>
      <c r="E79" s="4">
        <f t="shared" si="3"/>
        <v>0.60113728904120978</v>
      </c>
    </row>
    <row r="80" spans="1:5" x14ac:dyDescent="0.35">
      <c r="A80" t="s">
        <v>83</v>
      </c>
      <c r="B80" s="2">
        <v>3.5</v>
      </c>
      <c r="C80" s="4">
        <v>3.4679608345031738</v>
      </c>
      <c r="D80" s="4">
        <f t="shared" si="2"/>
        <v>3.2039165496826172E-2</v>
      </c>
      <c r="E80" s="4">
        <f t="shared" si="3"/>
        <v>1.0265081257330166E-3</v>
      </c>
    </row>
    <row r="81" spans="1:5" x14ac:dyDescent="0.35">
      <c r="A81" t="s">
        <v>84</v>
      </c>
      <c r="B81" s="2">
        <v>2.85</v>
      </c>
      <c r="C81" s="4">
        <v>3.4176371097564702</v>
      </c>
      <c r="D81" s="4">
        <f t="shared" si="2"/>
        <v>0.56763710975647008</v>
      </c>
      <c r="E81" s="4">
        <f t="shared" si="3"/>
        <v>0.32221188837267889</v>
      </c>
    </row>
    <row r="82" spans="1:5" x14ac:dyDescent="0.35">
      <c r="A82" t="s">
        <v>85</v>
      </c>
      <c r="B82" s="2">
        <v>4.34</v>
      </c>
      <c r="C82" s="4">
        <v>3.5980832576751709</v>
      </c>
      <c r="D82" s="4">
        <f t="shared" si="2"/>
        <v>0.74191674232482896</v>
      </c>
      <c r="E82" s="4">
        <f t="shared" si="3"/>
        <v>0.55044045254188667</v>
      </c>
    </row>
    <row r="83" spans="1:5" x14ac:dyDescent="0.35">
      <c r="A83" t="s">
        <v>86</v>
      </c>
      <c r="B83" s="2">
        <v>3.51</v>
      </c>
      <c r="C83" s="4">
        <v>3.769709587097168</v>
      </c>
      <c r="D83" s="4">
        <f t="shared" si="2"/>
        <v>0.25970958709716818</v>
      </c>
      <c r="E83" s="4">
        <f t="shared" si="3"/>
        <v>6.7449069630181588E-2</v>
      </c>
    </row>
    <row r="84" spans="1:5" x14ac:dyDescent="0.35">
      <c r="A84" t="s">
        <v>87</v>
      </c>
      <c r="B84" s="2">
        <v>2.4700000000000002</v>
      </c>
      <c r="C84" s="4">
        <v>3.733183860778809</v>
      </c>
      <c r="D84" s="4">
        <f t="shared" si="2"/>
        <v>1.2631838607788088</v>
      </c>
      <c r="E84" s="4">
        <f t="shared" si="3"/>
        <v>1.595633466132057</v>
      </c>
    </row>
    <row r="85" spans="1:5" x14ac:dyDescent="0.35">
      <c r="A85" t="s">
        <v>88</v>
      </c>
      <c r="B85" s="2">
        <v>4.5</v>
      </c>
      <c r="C85" s="4">
        <v>3.514741182327271</v>
      </c>
      <c r="D85" s="4">
        <f t="shared" si="2"/>
        <v>0.98525881767272905</v>
      </c>
      <c r="E85" s="4">
        <f t="shared" si="3"/>
        <v>0.97073493780186393</v>
      </c>
    </row>
    <row r="86" spans="1:5" x14ac:dyDescent="0.35">
      <c r="A86" t="s">
        <v>89</v>
      </c>
      <c r="B86" s="2">
        <v>4.16</v>
      </c>
      <c r="C86" s="4">
        <v>3.5079605579376221</v>
      </c>
      <c r="D86" s="4">
        <f t="shared" si="2"/>
        <v>0.65203944206237807</v>
      </c>
      <c r="E86" s="4">
        <f t="shared" si="3"/>
        <v>0.42515543400501726</v>
      </c>
    </row>
    <row r="87" spans="1:5" x14ac:dyDescent="0.35">
      <c r="A87" t="s">
        <v>90</v>
      </c>
      <c r="B87" s="2">
        <v>2.94</v>
      </c>
      <c r="C87" s="4">
        <v>3.5209240913391109</v>
      </c>
      <c r="D87" s="4">
        <f t="shared" si="2"/>
        <v>0.58092409133911094</v>
      </c>
      <c r="E87" s="4">
        <f t="shared" si="3"/>
        <v>0.33747279989817169</v>
      </c>
    </row>
    <row r="88" spans="1:5" x14ac:dyDescent="0.35">
      <c r="A88" t="s">
        <v>91</v>
      </c>
      <c r="B88" s="2">
        <v>1.61</v>
      </c>
      <c r="C88" s="4">
        <v>3.4582042694091801</v>
      </c>
      <c r="D88" s="4">
        <f t="shared" si="2"/>
        <v>1.84820426940918</v>
      </c>
      <c r="E88" s="4">
        <f t="shared" si="3"/>
        <v>3.415859021462321</v>
      </c>
    </row>
    <row r="89" spans="1:5" x14ac:dyDescent="0.35">
      <c r="A89" t="s">
        <v>92</v>
      </c>
      <c r="B89" s="2">
        <v>4.6100000000000003</v>
      </c>
      <c r="C89" s="4">
        <v>3.8703639507293701</v>
      </c>
      <c r="D89" s="4">
        <f t="shared" si="2"/>
        <v>0.7396360492706302</v>
      </c>
      <c r="E89" s="4">
        <f t="shared" si="3"/>
        <v>0.54706148538066612</v>
      </c>
    </row>
    <row r="90" spans="1:5" x14ac:dyDescent="0.35">
      <c r="A90" t="s">
        <v>93</v>
      </c>
      <c r="B90" s="2">
        <v>4.4000000000000004</v>
      </c>
      <c r="C90" s="4">
        <v>3.856167078018188</v>
      </c>
      <c r="D90" s="4">
        <f t="shared" si="2"/>
        <v>0.54383292198181232</v>
      </c>
      <c r="E90" s="4">
        <f t="shared" si="3"/>
        <v>0.29575424703127595</v>
      </c>
    </row>
    <row r="91" spans="1:5" x14ac:dyDescent="0.35">
      <c r="A91" t="s">
        <v>94</v>
      </c>
      <c r="B91" s="2">
        <v>2.19</v>
      </c>
      <c r="C91" s="4">
        <v>3.9334597587585449</v>
      </c>
      <c r="D91" s="4">
        <f t="shared" si="2"/>
        <v>1.743459758758545</v>
      </c>
      <c r="E91" s="4">
        <f t="shared" si="3"/>
        <v>3.0396519304104039</v>
      </c>
    </row>
    <row r="92" spans="1:5" x14ac:dyDescent="0.35">
      <c r="A92" t="s">
        <v>95</v>
      </c>
      <c r="B92" s="2">
        <v>1.33</v>
      </c>
      <c r="C92" s="4">
        <v>3.7517201900482182</v>
      </c>
      <c r="D92" s="4">
        <f t="shared" si="2"/>
        <v>2.4217201900482181</v>
      </c>
      <c r="E92" s="4">
        <f t="shared" si="3"/>
        <v>5.864728678887178</v>
      </c>
    </row>
    <row r="93" spans="1:5" x14ac:dyDescent="0.35">
      <c r="A93" t="s">
        <v>96</v>
      </c>
      <c r="B93" s="2">
        <v>4.5199999999999996</v>
      </c>
      <c r="C93" s="4">
        <v>3.4340939521789551</v>
      </c>
      <c r="D93" s="4">
        <f t="shared" si="2"/>
        <v>1.0859060478210445</v>
      </c>
      <c r="E93" s="4">
        <f t="shared" si="3"/>
        <v>1.1791919446943206</v>
      </c>
    </row>
    <row r="94" spans="1:5" x14ac:dyDescent="0.35">
      <c r="A94" t="s">
        <v>97</v>
      </c>
      <c r="B94" s="2">
        <v>4.2699999999999996</v>
      </c>
      <c r="C94" s="4">
        <v>3.5471405982971191</v>
      </c>
      <c r="D94" s="4">
        <f t="shared" si="2"/>
        <v>0.72285940170288043</v>
      </c>
      <c r="E94" s="4">
        <f t="shared" si="3"/>
        <v>0.52252571463024622</v>
      </c>
    </row>
    <row r="95" spans="1:5" x14ac:dyDescent="0.35">
      <c r="A95" t="s">
        <v>98</v>
      </c>
      <c r="B95" s="2">
        <v>1.86</v>
      </c>
      <c r="C95" s="4">
        <v>3.3075978755950932</v>
      </c>
      <c r="D95" s="4">
        <f t="shared" si="2"/>
        <v>1.4475978755950931</v>
      </c>
      <c r="E95" s="4">
        <f t="shared" si="3"/>
        <v>2.0955396094274268</v>
      </c>
    </row>
    <row r="96" spans="1:5" x14ac:dyDescent="0.35">
      <c r="A96" t="s">
        <v>99</v>
      </c>
      <c r="B96" s="2">
        <v>1.28</v>
      </c>
      <c r="C96" s="4">
        <v>3.2834854125976558</v>
      </c>
      <c r="D96" s="4">
        <f t="shared" si="2"/>
        <v>2.003485412597656</v>
      </c>
      <c r="E96" s="4">
        <f t="shared" si="3"/>
        <v>4.0139537984915998</v>
      </c>
    </row>
    <row r="97" spans="1:5" x14ac:dyDescent="0.35">
      <c r="A97" t="s">
        <v>100</v>
      </c>
      <c r="B97" s="2">
        <v>4.7300000000000004</v>
      </c>
      <c r="C97" s="4">
        <v>3.7130615711212158</v>
      </c>
      <c r="D97" s="4">
        <f t="shared" si="2"/>
        <v>1.0169384288787846</v>
      </c>
      <c r="E97" s="4">
        <f t="shared" si="3"/>
        <v>1.034163768130451</v>
      </c>
    </row>
    <row r="98" spans="1:5" x14ac:dyDescent="0.35">
      <c r="A98" t="s">
        <v>101</v>
      </c>
      <c r="B98" s="2">
        <v>4.67</v>
      </c>
      <c r="C98" s="4">
        <v>3.7248063087463379</v>
      </c>
      <c r="D98" s="4">
        <f t="shared" si="2"/>
        <v>0.94519369125366204</v>
      </c>
      <c r="E98" s="4">
        <f t="shared" si="3"/>
        <v>0.89339111398572302</v>
      </c>
    </row>
    <row r="99" spans="1:5" x14ac:dyDescent="0.35">
      <c r="A99" t="s">
        <v>102</v>
      </c>
      <c r="B99" s="2">
        <v>4.0999999999999996</v>
      </c>
      <c r="C99" s="4">
        <v>3.6769566535949711</v>
      </c>
      <c r="D99" s="4">
        <f t="shared" si="2"/>
        <v>0.4230433464050285</v>
      </c>
      <c r="E99" s="4">
        <f t="shared" si="3"/>
        <v>0.17896567293756493</v>
      </c>
    </row>
    <row r="100" spans="1:5" x14ac:dyDescent="0.35">
      <c r="A100" t="s">
        <v>103</v>
      </c>
      <c r="B100" s="2">
        <v>1.47</v>
      </c>
      <c r="C100" s="4">
        <v>3.5778894424438481</v>
      </c>
      <c r="D100" s="4">
        <f t="shared" si="2"/>
        <v>2.1078894424438479</v>
      </c>
      <c r="E100" s="4">
        <f t="shared" si="3"/>
        <v>4.4431979015662364</v>
      </c>
    </row>
    <row r="101" spans="1:5" x14ac:dyDescent="0.35">
      <c r="A101" t="s">
        <v>104</v>
      </c>
      <c r="B101" s="2">
        <v>1.1599999999999999</v>
      </c>
      <c r="C101" s="4">
        <v>3.4015552997589111</v>
      </c>
      <c r="D101" s="4">
        <f t="shared" si="2"/>
        <v>2.241555299758911</v>
      </c>
      <c r="E101" s="4">
        <f t="shared" si="3"/>
        <v>5.0245701618772616</v>
      </c>
    </row>
    <row r="102" spans="1:5" x14ac:dyDescent="0.35">
      <c r="A102" t="s">
        <v>105</v>
      </c>
      <c r="B102" s="2">
        <v>4.07</v>
      </c>
      <c r="C102" s="4">
        <v>2.9563596248626709</v>
      </c>
      <c r="D102" s="4">
        <f t="shared" si="2"/>
        <v>1.1136403751373294</v>
      </c>
      <c r="E102" s="4">
        <f t="shared" si="3"/>
        <v>1.2401948851360116</v>
      </c>
    </row>
    <row r="103" spans="1:5" x14ac:dyDescent="0.35">
      <c r="A103" t="s">
        <v>106</v>
      </c>
      <c r="B103" s="2">
        <v>3.76</v>
      </c>
      <c r="C103" s="4">
        <v>3.182009220123291</v>
      </c>
      <c r="D103" s="4">
        <f t="shared" si="2"/>
        <v>0.57799077987670877</v>
      </c>
      <c r="E103" s="4">
        <f t="shared" si="3"/>
        <v>0.33407334162248603</v>
      </c>
    </row>
    <row r="104" spans="1:5" x14ac:dyDescent="0.35">
      <c r="A104" t="s">
        <v>107</v>
      </c>
      <c r="B104" s="2">
        <v>2.17</v>
      </c>
      <c r="C104" s="4">
        <v>3.2862389087677002</v>
      </c>
      <c r="D104" s="4">
        <f t="shared" si="2"/>
        <v>1.1162389087677003</v>
      </c>
      <c r="E104" s="4">
        <f t="shared" si="3"/>
        <v>1.2459893014469063</v>
      </c>
    </row>
    <row r="105" spans="1:5" x14ac:dyDescent="0.35">
      <c r="A105" t="s">
        <v>108</v>
      </c>
      <c r="B105" s="2">
        <v>3.86</v>
      </c>
      <c r="C105" s="4">
        <v>3.5237605571746831</v>
      </c>
      <c r="D105" s="4">
        <f t="shared" si="2"/>
        <v>0.33623944282531681</v>
      </c>
      <c r="E105" s="4">
        <f t="shared" si="3"/>
        <v>0.1130569629114795</v>
      </c>
    </row>
    <row r="106" spans="1:5" x14ac:dyDescent="0.35">
      <c r="A106" t="s">
        <v>109</v>
      </c>
      <c r="B106" s="2">
        <v>3.6</v>
      </c>
      <c r="C106" s="4">
        <v>3.5883808135986328</v>
      </c>
      <c r="D106" s="4">
        <f t="shared" si="2"/>
        <v>1.1619186401367276E-2</v>
      </c>
      <c r="E106" s="4">
        <f t="shared" si="3"/>
        <v>1.3500549262971824E-4</v>
      </c>
    </row>
    <row r="107" spans="1:5" x14ac:dyDescent="0.35">
      <c r="A107" t="s">
        <v>110</v>
      </c>
      <c r="B107" s="2">
        <v>1.56</v>
      </c>
      <c r="C107" s="4">
        <v>3.5451099872589111</v>
      </c>
      <c r="D107" s="4">
        <f t="shared" si="2"/>
        <v>1.9851099872589111</v>
      </c>
      <c r="E107" s="4">
        <f t="shared" si="3"/>
        <v>3.9406616615150742</v>
      </c>
    </row>
    <row r="108" spans="1:5" x14ac:dyDescent="0.35">
      <c r="A108" t="s">
        <v>111</v>
      </c>
      <c r="B108" s="2">
        <v>4.32</v>
      </c>
      <c r="C108" s="4">
        <v>3.4536702632904048</v>
      </c>
      <c r="D108" s="4">
        <f t="shared" si="2"/>
        <v>0.86632973670959545</v>
      </c>
      <c r="E108" s="4">
        <f t="shared" si="3"/>
        <v>0.75052721270731704</v>
      </c>
    </row>
    <row r="109" spans="1:5" x14ac:dyDescent="0.35">
      <c r="A109" t="s">
        <v>112</v>
      </c>
      <c r="B109" s="2">
        <v>4.0199999999999996</v>
      </c>
      <c r="C109" s="4">
        <v>3.5336499214172359</v>
      </c>
      <c r="D109" s="4">
        <f t="shared" si="2"/>
        <v>0.48635007858276369</v>
      </c>
      <c r="E109" s="4">
        <f t="shared" si="3"/>
        <v>0.23653639893746042</v>
      </c>
    </row>
    <row r="110" spans="1:5" x14ac:dyDescent="0.35">
      <c r="A110" t="s">
        <v>113</v>
      </c>
      <c r="B110" s="2">
        <v>2.94</v>
      </c>
      <c r="C110" s="4">
        <v>3.5082311630249019</v>
      </c>
      <c r="D110" s="4">
        <f t="shared" si="2"/>
        <v>0.56823116302490195</v>
      </c>
      <c r="E110" s="4">
        <f t="shared" si="3"/>
        <v>0.32288665463263272</v>
      </c>
    </row>
    <row r="111" spans="1:5" x14ac:dyDescent="0.35">
      <c r="A111" t="s">
        <v>114</v>
      </c>
      <c r="B111" s="2">
        <v>1.74</v>
      </c>
      <c r="C111" s="4">
        <v>3.5172004699707031</v>
      </c>
      <c r="D111" s="4">
        <f t="shared" si="2"/>
        <v>1.7772004699707031</v>
      </c>
      <c r="E111" s="4">
        <f t="shared" si="3"/>
        <v>3.1584415104640882</v>
      </c>
    </row>
    <row r="112" spans="1:5" x14ac:dyDescent="0.35">
      <c r="A112" t="s">
        <v>115</v>
      </c>
      <c r="B112" s="2">
        <v>4.55</v>
      </c>
      <c r="C112" s="4">
        <v>3.6705634593963619</v>
      </c>
      <c r="D112" s="4">
        <f t="shared" si="2"/>
        <v>0.87943654060363796</v>
      </c>
      <c r="E112" s="4">
        <f t="shared" si="3"/>
        <v>0.77340862894889417</v>
      </c>
    </row>
    <row r="113" spans="1:5" x14ac:dyDescent="0.35">
      <c r="A113" t="s">
        <v>116</v>
      </c>
      <c r="B113" s="2">
        <v>4.1500000000000004</v>
      </c>
      <c r="C113" s="4">
        <v>3.8202798366546631</v>
      </c>
      <c r="D113" s="4">
        <f t="shared" si="2"/>
        <v>0.32972016334533727</v>
      </c>
      <c r="E113" s="4">
        <f t="shared" si="3"/>
        <v>0.1087153861164759</v>
      </c>
    </row>
    <row r="114" spans="1:5" x14ac:dyDescent="0.35">
      <c r="A114" t="s">
        <v>117</v>
      </c>
      <c r="B114" s="2">
        <v>2.14</v>
      </c>
      <c r="C114" s="4">
        <v>3.7693886756896968</v>
      </c>
      <c r="D114" s="4">
        <f t="shared" si="2"/>
        <v>1.6293886756896967</v>
      </c>
      <c r="E114" s="4">
        <f t="shared" si="3"/>
        <v>2.6549074564658235</v>
      </c>
    </row>
    <row r="115" spans="1:5" x14ac:dyDescent="0.35">
      <c r="A115" t="s">
        <v>118</v>
      </c>
      <c r="B115" s="2">
        <v>1.44</v>
      </c>
      <c r="C115" s="4">
        <v>3.8744697570800781</v>
      </c>
      <c r="D115" s="4">
        <f t="shared" si="2"/>
        <v>2.4344697570800782</v>
      </c>
      <c r="E115" s="4">
        <f t="shared" si="3"/>
        <v>5.9266429981375346</v>
      </c>
    </row>
    <row r="116" spans="1:5" x14ac:dyDescent="0.35">
      <c r="A116" t="s">
        <v>119</v>
      </c>
      <c r="B116" s="2">
        <v>4.1100000000000003</v>
      </c>
      <c r="C116" s="4">
        <v>3.435158252716064</v>
      </c>
      <c r="D116" s="4">
        <f t="shared" si="2"/>
        <v>0.67484174728393631</v>
      </c>
      <c r="E116" s="4">
        <f t="shared" si="3"/>
        <v>0.45541138387723618</v>
      </c>
    </row>
    <row r="117" spans="1:5" x14ac:dyDescent="0.35">
      <c r="A117" t="s">
        <v>120</v>
      </c>
      <c r="B117" s="2">
        <v>3.96</v>
      </c>
      <c r="C117" s="4">
        <v>3.45044994354248</v>
      </c>
      <c r="D117" s="4">
        <f t="shared" si="2"/>
        <v>0.50955005645751994</v>
      </c>
      <c r="E117" s="4">
        <f t="shared" si="3"/>
        <v>0.25964126003586174</v>
      </c>
    </row>
    <row r="118" spans="1:5" x14ac:dyDescent="0.35">
      <c r="A118" t="s">
        <v>121</v>
      </c>
      <c r="B118" s="2">
        <v>3.28</v>
      </c>
      <c r="C118" s="4">
        <v>3.544543981552124</v>
      </c>
      <c r="D118" s="4">
        <f t="shared" si="2"/>
        <v>0.26454398155212422</v>
      </c>
      <c r="E118" s="4">
        <f t="shared" si="3"/>
        <v>6.9983518175450635E-2</v>
      </c>
    </row>
    <row r="119" spans="1:5" x14ac:dyDescent="0.35">
      <c r="A119" t="s">
        <v>122</v>
      </c>
      <c r="B119" s="2">
        <v>1.68</v>
      </c>
      <c r="C119" s="4">
        <v>3.359210729598999</v>
      </c>
      <c r="D119" s="4">
        <f t="shared" si="2"/>
        <v>1.6792107295989991</v>
      </c>
      <c r="E119" s="4">
        <f t="shared" si="3"/>
        <v>2.8197486744004028</v>
      </c>
    </row>
    <row r="120" spans="1:5" x14ac:dyDescent="0.35">
      <c r="A120" t="s">
        <v>123</v>
      </c>
      <c r="B120" s="2">
        <v>4.5599999999999996</v>
      </c>
      <c r="C120" s="4">
        <v>3.8000118732452388</v>
      </c>
      <c r="D120" s="4">
        <f t="shared" si="2"/>
        <v>0.7599881267547608</v>
      </c>
      <c r="E120" s="4">
        <f t="shared" si="3"/>
        <v>0.57758195280821034</v>
      </c>
    </row>
    <row r="121" spans="1:5" x14ac:dyDescent="0.35">
      <c r="A121" t="s">
        <v>124</v>
      </c>
      <c r="B121" s="2">
        <v>4.32</v>
      </c>
      <c r="C121" s="4">
        <v>3.7713346481323242</v>
      </c>
      <c r="D121" s="4">
        <f t="shared" si="2"/>
        <v>0.54866535186767607</v>
      </c>
      <c r="E121" s="4">
        <f t="shared" si="3"/>
        <v>0.30103366834008077</v>
      </c>
    </row>
    <row r="122" spans="1:5" x14ac:dyDescent="0.35">
      <c r="A122" t="s">
        <v>125</v>
      </c>
      <c r="B122" s="2">
        <v>3.57</v>
      </c>
      <c r="C122" s="4">
        <v>3.7175319194793701</v>
      </c>
      <c r="D122" s="4">
        <f t="shared" si="2"/>
        <v>0.14753191947937028</v>
      </c>
      <c r="E122" s="4">
        <f t="shared" si="3"/>
        <v>2.1765667265267394E-2</v>
      </c>
    </row>
    <row r="123" spans="1:5" x14ac:dyDescent="0.35">
      <c r="A123" t="s">
        <v>126</v>
      </c>
      <c r="B123" s="2">
        <v>1.62</v>
      </c>
      <c r="C123" s="4">
        <v>3.6496236324310298</v>
      </c>
      <c r="D123" s="4">
        <f t="shared" si="2"/>
        <v>2.0296236324310297</v>
      </c>
      <c r="E123" s="4">
        <f t="shared" si="3"/>
        <v>4.1193720893225274</v>
      </c>
    </row>
    <row r="124" spans="1:5" x14ac:dyDescent="0.35">
      <c r="A124" t="s">
        <v>127</v>
      </c>
      <c r="B124" s="2">
        <v>4.3499999999999996</v>
      </c>
      <c r="C124" s="4">
        <v>3.3874120712280269</v>
      </c>
      <c r="D124" s="4">
        <f t="shared" si="2"/>
        <v>0.96258792877197275</v>
      </c>
      <c r="E124" s="4">
        <f t="shared" si="3"/>
        <v>0.92657552061751647</v>
      </c>
    </row>
    <row r="125" spans="1:5" x14ac:dyDescent="0.35">
      <c r="A125" t="s">
        <v>128</v>
      </c>
      <c r="B125" s="2">
        <v>3.74</v>
      </c>
      <c r="C125" s="4">
        <v>3.3079757690429692</v>
      </c>
      <c r="D125" s="4">
        <f t="shared" si="2"/>
        <v>0.43202423095703102</v>
      </c>
      <c r="E125" s="4">
        <f t="shared" si="3"/>
        <v>0.18664493613401409</v>
      </c>
    </row>
    <row r="126" spans="1:5" x14ac:dyDescent="0.35">
      <c r="A126" t="s">
        <v>129</v>
      </c>
      <c r="B126" s="2">
        <v>2.9</v>
      </c>
      <c r="C126" s="4">
        <v>3.2419552803039551</v>
      </c>
      <c r="D126" s="4">
        <f t="shared" si="2"/>
        <v>0.34195528030395517</v>
      </c>
      <c r="E126" s="4">
        <f t="shared" si="3"/>
        <v>0.11693341372775655</v>
      </c>
    </row>
    <row r="127" spans="1:5" x14ac:dyDescent="0.35">
      <c r="A127" t="s">
        <v>130</v>
      </c>
      <c r="B127" s="2">
        <v>1.56</v>
      </c>
      <c r="C127" s="4">
        <v>3.198402881622314</v>
      </c>
      <c r="D127" s="4">
        <f t="shared" si="2"/>
        <v>1.638402881622314</v>
      </c>
      <c r="E127" s="4">
        <f t="shared" si="3"/>
        <v>2.684364002508302</v>
      </c>
    </row>
    <row r="128" spans="1:5" x14ac:dyDescent="0.35">
      <c r="A128" t="s">
        <v>131</v>
      </c>
      <c r="B128" s="2">
        <v>4.68</v>
      </c>
      <c r="C128" s="4">
        <v>3.6685183048248291</v>
      </c>
      <c r="D128" s="4">
        <f t="shared" si="2"/>
        <v>1.0114816951751706</v>
      </c>
      <c r="E128" s="4">
        <f t="shared" si="3"/>
        <v>1.0230952196744367</v>
      </c>
    </row>
    <row r="129" spans="1:5" x14ac:dyDescent="0.35">
      <c r="A129" t="s">
        <v>132</v>
      </c>
      <c r="B129" s="2">
        <v>4.62</v>
      </c>
      <c r="C129" s="4">
        <v>3.8120567798614502</v>
      </c>
      <c r="D129" s="4">
        <f t="shared" si="2"/>
        <v>0.80794322013854991</v>
      </c>
      <c r="E129" s="4">
        <f t="shared" si="3"/>
        <v>0.6527722469678493</v>
      </c>
    </row>
    <row r="130" spans="1:5" x14ac:dyDescent="0.35">
      <c r="A130" t="s">
        <v>133</v>
      </c>
      <c r="B130" s="2">
        <v>4.13</v>
      </c>
      <c r="C130" s="4">
        <v>3.5376536846160889</v>
      </c>
      <c r="D130" s="4">
        <f t="shared" si="2"/>
        <v>0.59234631538391103</v>
      </c>
      <c r="E130" s="4">
        <f t="shared" si="3"/>
        <v>0.35087415734889577</v>
      </c>
    </row>
    <row r="131" spans="1:5" x14ac:dyDescent="0.35">
      <c r="A131" t="s">
        <v>134</v>
      </c>
      <c r="B131" s="2">
        <v>2.92</v>
      </c>
      <c r="C131" s="4">
        <v>3.5163486003875728</v>
      </c>
      <c r="D131" s="4">
        <f t="shared" ref="D131:D194" si="4">ABS(B131-C131)</f>
        <v>0.59634860038757287</v>
      </c>
      <c r="E131" s="4">
        <f t="shared" ref="E131:E194" si="5">(B131-C131)^2</f>
        <v>0.35563165318421708</v>
      </c>
    </row>
    <row r="132" spans="1:5" x14ac:dyDescent="0.35">
      <c r="A132" t="s">
        <v>135</v>
      </c>
      <c r="B132" s="2">
        <v>1.26</v>
      </c>
      <c r="C132" s="4">
        <v>3.503915548324585</v>
      </c>
      <c r="D132" s="4">
        <f t="shared" si="4"/>
        <v>2.2439155483245852</v>
      </c>
      <c r="E132" s="4">
        <f t="shared" si="5"/>
        <v>5.0351569880128233</v>
      </c>
    </row>
    <row r="133" spans="1:5" x14ac:dyDescent="0.35">
      <c r="A133" t="s">
        <v>136</v>
      </c>
      <c r="B133" s="2">
        <v>3.47</v>
      </c>
      <c r="C133" s="4">
        <v>2.8899872303009029</v>
      </c>
      <c r="D133" s="4">
        <f t="shared" si="4"/>
        <v>0.58001276969909732</v>
      </c>
      <c r="E133" s="4">
        <f t="shared" si="5"/>
        <v>0.3364148130140181</v>
      </c>
    </row>
    <row r="134" spans="1:5" x14ac:dyDescent="0.35">
      <c r="A134" t="s">
        <v>137</v>
      </c>
      <c r="B134" s="2">
        <v>3.27</v>
      </c>
      <c r="C134" s="4">
        <v>3.179613590240479</v>
      </c>
      <c r="D134" s="4">
        <f t="shared" si="4"/>
        <v>9.0386409759521058E-2</v>
      </c>
      <c r="E134" s="4">
        <f t="shared" si="5"/>
        <v>8.169703069216043E-3</v>
      </c>
    </row>
    <row r="135" spans="1:5" x14ac:dyDescent="0.35">
      <c r="A135" t="s">
        <v>138</v>
      </c>
      <c r="B135" s="2">
        <v>1.89</v>
      </c>
      <c r="C135" s="4">
        <v>3.2456140518188481</v>
      </c>
      <c r="D135" s="4">
        <f t="shared" si="4"/>
        <v>1.3556140518188482</v>
      </c>
      <c r="E135" s="4">
        <f t="shared" si="5"/>
        <v>1.8376894574887148</v>
      </c>
    </row>
    <row r="136" spans="1:5" x14ac:dyDescent="0.35">
      <c r="A136" t="s">
        <v>139</v>
      </c>
      <c r="B136" s="2">
        <v>3.95</v>
      </c>
      <c r="C136" s="4">
        <v>3.3362681865692139</v>
      </c>
      <c r="D136" s="4">
        <f t="shared" si="4"/>
        <v>0.61373181343078631</v>
      </c>
      <c r="E136" s="4">
        <f t="shared" si="5"/>
        <v>0.37666673881704149</v>
      </c>
    </row>
    <row r="137" spans="1:5" x14ac:dyDescent="0.35">
      <c r="A137" t="s">
        <v>140</v>
      </c>
      <c r="B137" s="2">
        <v>3.36</v>
      </c>
      <c r="C137" s="4">
        <v>3.4769265651702881</v>
      </c>
      <c r="D137" s="4">
        <f t="shared" si="4"/>
        <v>0.11692656517028821</v>
      </c>
      <c r="E137" s="4">
        <f t="shared" si="5"/>
        <v>1.3671821642521656E-2</v>
      </c>
    </row>
    <row r="138" spans="1:5" x14ac:dyDescent="0.35">
      <c r="A138" t="s">
        <v>141</v>
      </c>
      <c r="B138" s="2">
        <v>1.79</v>
      </c>
      <c r="C138" s="4">
        <v>3.6221244335174561</v>
      </c>
      <c r="D138" s="4">
        <f t="shared" si="4"/>
        <v>1.832124433517456</v>
      </c>
      <c r="E138" s="4">
        <f t="shared" si="5"/>
        <v>3.3566799398916589</v>
      </c>
    </row>
    <row r="139" spans="1:5" x14ac:dyDescent="0.35">
      <c r="A139" t="s">
        <v>142</v>
      </c>
      <c r="B139" s="2">
        <v>4.16</v>
      </c>
      <c r="C139" s="4">
        <v>3.3778839111328121</v>
      </c>
      <c r="D139" s="4">
        <f t="shared" si="4"/>
        <v>0.78211608886718809</v>
      </c>
      <c r="E139" s="4">
        <f t="shared" si="5"/>
        <v>0.6117055764649072</v>
      </c>
    </row>
    <row r="140" spans="1:5" x14ac:dyDescent="0.35">
      <c r="A140" t="s">
        <v>143</v>
      </c>
      <c r="B140" s="2">
        <v>3.8</v>
      </c>
      <c r="C140" s="4">
        <v>3.4478330612182622</v>
      </c>
      <c r="D140" s="4">
        <f t="shared" si="4"/>
        <v>0.35216693878173766</v>
      </c>
      <c r="E140" s="4">
        <f t="shared" si="5"/>
        <v>0.12402155277090016</v>
      </c>
    </row>
    <row r="141" spans="1:5" x14ac:dyDescent="0.35">
      <c r="A141" t="s">
        <v>144</v>
      </c>
      <c r="B141" s="2">
        <v>3.31</v>
      </c>
      <c r="C141" s="4">
        <v>3.4557614326477051</v>
      </c>
      <c r="D141" s="4">
        <f t="shared" si="4"/>
        <v>0.14576143264770502</v>
      </c>
      <c r="E141" s="4">
        <f t="shared" si="5"/>
        <v>2.1246395247511447E-2</v>
      </c>
    </row>
    <row r="142" spans="1:5" x14ac:dyDescent="0.35">
      <c r="A142" t="s">
        <v>145</v>
      </c>
      <c r="B142" s="2">
        <v>1.79</v>
      </c>
      <c r="C142" s="4">
        <v>3.368404865264893</v>
      </c>
      <c r="D142" s="4">
        <f t="shared" si="4"/>
        <v>1.578404865264893</v>
      </c>
      <c r="E142" s="4">
        <f t="shared" si="5"/>
        <v>2.4913619186918852</v>
      </c>
    </row>
    <row r="143" spans="1:5" x14ac:dyDescent="0.35">
      <c r="A143" t="s">
        <v>146</v>
      </c>
      <c r="B143" s="2">
        <v>4.43</v>
      </c>
      <c r="C143" s="4">
        <v>3.7621357440948491</v>
      </c>
      <c r="D143" s="4">
        <f t="shared" si="4"/>
        <v>0.66786425590515064</v>
      </c>
      <c r="E143" s="4">
        <f t="shared" si="5"/>
        <v>0.44604266431574052</v>
      </c>
    </row>
    <row r="144" spans="1:5" x14ac:dyDescent="0.35">
      <c r="A144" t="s">
        <v>147</v>
      </c>
      <c r="B144" s="2">
        <v>4.17</v>
      </c>
      <c r="C144" s="4">
        <v>3.729033231735229</v>
      </c>
      <c r="D144" s="4">
        <f t="shared" si="4"/>
        <v>0.44096676826477088</v>
      </c>
      <c r="E144" s="4">
        <f t="shared" si="5"/>
        <v>0.19445169071387614</v>
      </c>
    </row>
    <row r="145" spans="1:5" x14ac:dyDescent="0.35">
      <c r="A145" t="s">
        <v>148</v>
      </c>
      <c r="B145" s="2">
        <v>3.08</v>
      </c>
      <c r="C145" s="4">
        <v>3.6968445777893071</v>
      </c>
      <c r="D145" s="4">
        <f t="shared" si="4"/>
        <v>0.61684457778930701</v>
      </c>
      <c r="E145" s="4">
        <f t="shared" si="5"/>
        <v>0.38049723314806844</v>
      </c>
    </row>
    <row r="146" spans="1:5" x14ac:dyDescent="0.35">
      <c r="A146" t="s">
        <v>149</v>
      </c>
      <c r="B146" s="2">
        <v>1.59</v>
      </c>
      <c r="C146" s="4">
        <v>3.6508414745330811</v>
      </c>
      <c r="D146" s="4">
        <f t="shared" si="4"/>
        <v>2.0608414745330812</v>
      </c>
      <c r="E146" s="4">
        <f t="shared" si="5"/>
        <v>4.2470675831556841</v>
      </c>
    </row>
    <row r="147" spans="1:5" x14ac:dyDescent="0.35">
      <c r="A147" t="s">
        <v>150</v>
      </c>
      <c r="B147" s="2">
        <v>4.49</v>
      </c>
      <c r="C147" s="4">
        <v>4.1789956092834473</v>
      </c>
      <c r="D147" s="4">
        <f t="shared" si="4"/>
        <v>0.31100439071655295</v>
      </c>
      <c r="E147" s="4">
        <f t="shared" si="5"/>
        <v>9.6723731044974323E-2</v>
      </c>
    </row>
    <row r="148" spans="1:5" x14ac:dyDescent="0.35">
      <c r="A148" t="s">
        <v>151</v>
      </c>
      <c r="B148" s="2">
        <v>4.34</v>
      </c>
      <c r="C148" s="4">
        <v>4.0941777229309082</v>
      </c>
      <c r="D148" s="4">
        <f t="shared" si="4"/>
        <v>0.24582227706909165</v>
      </c>
      <c r="E148" s="4">
        <f t="shared" si="5"/>
        <v>6.0428591903433262E-2</v>
      </c>
    </row>
    <row r="149" spans="1:5" x14ac:dyDescent="0.35">
      <c r="A149" t="s">
        <v>152</v>
      </c>
      <c r="B149" s="2">
        <v>3.22</v>
      </c>
      <c r="C149" s="4">
        <v>4.1077671051025391</v>
      </c>
      <c r="D149" s="4">
        <f t="shared" si="4"/>
        <v>0.88776710510253887</v>
      </c>
      <c r="E149" s="4">
        <f t="shared" si="5"/>
        <v>0.78813043290214224</v>
      </c>
    </row>
    <row r="150" spans="1:5" x14ac:dyDescent="0.35">
      <c r="A150" t="s">
        <v>153</v>
      </c>
      <c r="B150" s="2">
        <v>2</v>
      </c>
      <c r="C150" s="4">
        <v>4.1149907112121582</v>
      </c>
      <c r="D150" s="4">
        <f t="shared" si="4"/>
        <v>2.1149907112121582</v>
      </c>
      <c r="E150" s="4">
        <f t="shared" si="5"/>
        <v>4.4731857085137108</v>
      </c>
    </row>
    <row r="151" spans="1:5" x14ac:dyDescent="0.35">
      <c r="A151" t="s">
        <v>154</v>
      </c>
      <c r="B151" s="2">
        <v>4.4400000000000004</v>
      </c>
      <c r="C151" s="4">
        <v>3.8400745391845699</v>
      </c>
      <c r="D151" s="4">
        <f t="shared" si="4"/>
        <v>0.59992546081543052</v>
      </c>
      <c r="E151" s="4">
        <f t="shared" si="5"/>
        <v>0.35991055853460668</v>
      </c>
    </row>
    <row r="152" spans="1:5" x14ac:dyDescent="0.35">
      <c r="A152" t="s">
        <v>155</v>
      </c>
      <c r="B152" s="2">
        <v>4.41</v>
      </c>
      <c r="C152" s="4">
        <v>3.7809286117553711</v>
      </c>
      <c r="D152" s="4">
        <f t="shared" si="4"/>
        <v>0.62907138824462905</v>
      </c>
      <c r="E152" s="4">
        <f t="shared" si="5"/>
        <v>0.3957308115080248</v>
      </c>
    </row>
    <row r="153" spans="1:5" x14ac:dyDescent="0.35">
      <c r="A153" t="s">
        <v>156</v>
      </c>
      <c r="B153" s="2">
        <v>3.64</v>
      </c>
      <c r="C153" s="4">
        <v>3.812269926071167</v>
      </c>
      <c r="D153" s="4">
        <f t="shared" si="4"/>
        <v>0.17226992607116687</v>
      </c>
      <c r="E153" s="4">
        <f t="shared" si="5"/>
        <v>2.9676927428565297E-2</v>
      </c>
    </row>
    <row r="154" spans="1:5" x14ac:dyDescent="0.35">
      <c r="A154" t="s">
        <v>157</v>
      </c>
      <c r="B154" s="2">
        <v>2.91</v>
      </c>
      <c r="C154" s="4">
        <v>3.8968784809112549</v>
      </c>
      <c r="D154" s="4">
        <f t="shared" si="4"/>
        <v>0.98687848091125474</v>
      </c>
      <c r="E154" s="4">
        <f t="shared" si="5"/>
        <v>0.97392913608570575</v>
      </c>
    </row>
    <row r="155" spans="1:5" x14ac:dyDescent="0.35">
      <c r="A155" t="s">
        <v>158</v>
      </c>
      <c r="B155" s="2">
        <v>4.53</v>
      </c>
      <c r="C155" s="4">
        <v>4.1364970207214364</v>
      </c>
      <c r="D155" s="4">
        <f t="shared" si="4"/>
        <v>0.39350297927856381</v>
      </c>
      <c r="E155" s="4">
        <f t="shared" si="5"/>
        <v>0.15484459470110581</v>
      </c>
    </row>
    <row r="156" spans="1:5" x14ac:dyDescent="0.35">
      <c r="A156" t="s">
        <v>159</v>
      </c>
      <c r="B156" s="2">
        <v>4.49</v>
      </c>
      <c r="C156" s="4">
        <v>4.1355795860290527</v>
      </c>
      <c r="D156" s="4">
        <f t="shared" si="4"/>
        <v>0.35442041397094748</v>
      </c>
      <c r="E156" s="4">
        <f t="shared" si="5"/>
        <v>0.12561382983933778</v>
      </c>
    </row>
    <row r="157" spans="1:5" x14ac:dyDescent="0.35">
      <c r="A157" t="s">
        <v>160</v>
      </c>
      <c r="B157" s="2">
        <v>3.84</v>
      </c>
      <c r="C157" s="4">
        <v>4.1475095748901367</v>
      </c>
      <c r="D157" s="4">
        <f t="shared" si="4"/>
        <v>0.30750957489013686</v>
      </c>
      <c r="E157" s="4">
        <f t="shared" si="5"/>
        <v>9.4562138649112684E-2</v>
      </c>
    </row>
    <row r="158" spans="1:5" x14ac:dyDescent="0.35">
      <c r="A158" t="s">
        <v>161</v>
      </c>
      <c r="B158" s="2">
        <v>2.0299999999999998</v>
      </c>
      <c r="C158" s="4">
        <v>3.9342436790466309</v>
      </c>
      <c r="D158" s="4">
        <f t="shared" si="4"/>
        <v>1.9042436790466311</v>
      </c>
      <c r="E158" s="4">
        <f t="shared" si="5"/>
        <v>3.6261439891890488</v>
      </c>
    </row>
    <row r="159" spans="1:5" x14ac:dyDescent="0.35">
      <c r="A159" t="s">
        <v>162</v>
      </c>
      <c r="B159" s="2">
        <v>1.18</v>
      </c>
      <c r="C159" s="4">
        <v>3.865559577941895</v>
      </c>
      <c r="D159" s="4">
        <f t="shared" si="4"/>
        <v>2.6855595779418948</v>
      </c>
      <c r="E159" s="4">
        <f t="shared" si="5"/>
        <v>7.212230246675448</v>
      </c>
    </row>
    <row r="160" spans="1:5" x14ac:dyDescent="0.35">
      <c r="A160" t="s">
        <v>163</v>
      </c>
      <c r="B160" s="2">
        <v>4.26</v>
      </c>
      <c r="C160" s="4">
        <v>3.7750742435455318</v>
      </c>
      <c r="D160" s="4">
        <f t="shared" si="4"/>
        <v>0.484925756454468</v>
      </c>
      <c r="E160" s="4">
        <f t="shared" si="5"/>
        <v>0.23515298927293801</v>
      </c>
    </row>
    <row r="161" spans="1:5" x14ac:dyDescent="0.35">
      <c r="A161" t="s">
        <v>164</v>
      </c>
      <c r="B161" s="2">
        <v>4.1399999999999997</v>
      </c>
      <c r="C161" s="4">
        <v>3.7272629737853999</v>
      </c>
      <c r="D161" s="4">
        <f t="shared" si="4"/>
        <v>0.41273702621459973</v>
      </c>
      <c r="E161" s="4">
        <f t="shared" si="5"/>
        <v>0.17035185280847118</v>
      </c>
    </row>
    <row r="162" spans="1:5" x14ac:dyDescent="0.35">
      <c r="A162" t="s">
        <v>165</v>
      </c>
      <c r="B162" s="2">
        <v>3.04</v>
      </c>
      <c r="C162" s="4">
        <v>3.6916706562042241</v>
      </c>
      <c r="D162" s="4">
        <f t="shared" si="4"/>
        <v>0.65167065620422404</v>
      </c>
      <c r="E162" s="4">
        <f t="shared" si="5"/>
        <v>0.42467464415764394</v>
      </c>
    </row>
    <row r="163" spans="1:5" x14ac:dyDescent="0.35">
      <c r="A163" t="s">
        <v>166</v>
      </c>
      <c r="B163" s="2">
        <v>1.55</v>
      </c>
      <c r="C163" s="4">
        <v>3.5643823146820068</v>
      </c>
      <c r="D163" s="4">
        <f t="shared" si="4"/>
        <v>2.014382314682007</v>
      </c>
      <c r="E163" s="4">
        <f t="shared" si="5"/>
        <v>4.0577361097036402</v>
      </c>
    </row>
    <row r="164" spans="1:5" x14ac:dyDescent="0.35">
      <c r="A164" t="s">
        <v>167</v>
      </c>
      <c r="B164" s="2">
        <v>3.96</v>
      </c>
      <c r="C164" s="4">
        <v>3.4872739315032959</v>
      </c>
      <c r="D164" s="4">
        <f t="shared" si="4"/>
        <v>0.47272606849670407</v>
      </c>
      <c r="E164" s="4">
        <f t="shared" si="5"/>
        <v>0.22346993583635055</v>
      </c>
    </row>
    <row r="165" spans="1:5" x14ac:dyDescent="0.35">
      <c r="A165" t="s">
        <v>168</v>
      </c>
      <c r="B165" s="2">
        <v>3.59</v>
      </c>
      <c r="C165" s="4">
        <v>3.917265653610229</v>
      </c>
      <c r="D165" s="4">
        <f t="shared" si="4"/>
        <v>0.32726565361022919</v>
      </c>
      <c r="E165" s="4">
        <f t="shared" si="5"/>
        <v>0.10710280803293051</v>
      </c>
    </row>
    <row r="166" spans="1:5" x14ac:dyDescent="0.35">
      <c r="A166" t="s">
        <v>169</v>
      </c>
      <c r="B166" s="2">
        <v>2.82</v>
      </c>
      <c r="C166" s="4">
        <v>3.8864707946777339</v>
      </c>
      <c r="D166" s="4">
        <f t="shared" si="4"/>
        <v>1.0664707946777341</v>
      </c>
      <c r="E166" s="4">
        <f t="shared" si="5"/>
        <v>1.1373599559005576</v>
      </c>
    </row>
    <row r="167" spans="1:5" x14ac:dyDescent="0.35">
      <c r="A167" t="s">
        <v>170</v>
      </c>
      <c r="B167" s="2">
        <v>3.74</v>
      </c>
      <c r="C167" s="4">
        <v>3.3545181751251221</v>
      </c>
      <c r="D167" s="4">
        <f t="shared" si="4"/>
        <v>0.38548182487487814</v>
      </c>
      <c r="E167" s="4">
        <f t="shared" si="5"/>
        <v>0.14859623730886623</v>
      </c>
    </row>
    <row r="168" spans="1:5" x14ac:dyDescent="0.35">
      <c r="A168" t="s">
        <v>171</v>
      </c>
      <c r="B168" s="2">
        <v>3.58</v>
      </c>
      <c r="C168" s="4">
        <v>3.4436542987823491</v>
      </c>
      <c r="D168" s="4">
        <f t="shared" si="4"/>
        <v>0.13634570121765099</v>
      </c>
      <c r="E168" s="4">
        <f t="shared" si="5"/>
        <v>1.8590150240532954E-2</v>
      </c>
    </row>
    <row r="169" spans="1:5" x14ac:dyDescent="0.35">
      <c r="A169" t="s">
        <v>172</v>
      </c>
      <c r="B169" s="2">
        <v>3.12</v>
      </c>
      <c r="C169" s="4">
        <v>3.3673858642578121</v>
      </c>
      <c r="D169" s="4">
        <f t="shared" si="4"/>
        <v>0.24738586425781195</v>
      </c>
      <c r="E169" s="4">
        <f t="shared" si="5"/>
        <v>6.1199765834584557E-2</v>
      </c>
    </row>
    <row r="170" spans="1:5" x14ac:dyDescent="0.35">
      <c r="A170" t="s">
        <v>173</v>
      </c>
      <c r="B170" s="2">
        <v>4.3499999999999996</v>
      </c>
      <c r="C170" s="4">
        <v>3.9156360626220699</v>
      </c>
      <c r="D170" s="4">
        <f t="shared" si="4"/>
        <v>0.43436393737792978</v>
      </c>
      <c r="E170" s="4">
        <f t="shared" si="5"/>
        <v>0.1886720300944581</v>
      </c>
    </row>
    <row r="171" spans="1:5" x14ac:dyDescent="0.35">
      <c r="A171" t="s">
        <v>174</v>
      </c>
      <c r="B171" s="2">
        <v>3.93</v>
      </c>
      <c r="C171" s="4">
        <v>3.9230105876922612</v>
      </c>
      <c r="D171" s="4">
        <f t="shared" si="4"/>
        <v>6.9894123077389736E-3</v>
      </c>
      <c r="E171" s="4">
        <f t="shared" si="5"/>
        <v>4.8851884407573045E-5</v>
      </c>
    </row>
    <row r="172" spans="1:5" x14ac:dyDescent="0.35">
      <c r="A172" t="s">
        <v>175</v>
      </c>
      <c r="B172" s="2">
        <v>3.1</v>
      </c>
      <c r="C172" s="4">
        <v>3.985925436019897</v>
      </c>
      <c r="D172" s="4">
        <f t="shared" si="4"/>
        <v>0.88592543601989693</v>
      </c>
      <c r="E172" s="4">
        <f t="shared" si="5"/>
        <v>0.78486387818704451</v>
      </c>
    </row>
    <row r="173" spans="1:5" x14ac:dyDescent="0.35">
      <c r="A173" t="s">
        <v>176</v>
      </c>
      <c r="B173" s="2">
        <v>4.24</v>
      </c>
      <c r="C173" s="4">
        <v>3.585412979125977</v>
      </c>
      <c r="D173" s="4">
        <f t="shared" si="4"/>
        <v>0.65458702087402321</v>
      </c>
      <c r="E173" s="4">
        <f t="shared" si="5"/>
        <v>0.42848416789672888</v>
      </c>
    </row>
    <row r="174" spans="1:5" x14ac:dyDescent="0.35">
      <c r="A174" t="s">
        <v>177</v>
      </c>
      <c r="B174" s="2">
        <v>3.9</v>
      </c>
      <c r="C174" s="4">
        <v>3.6020245552062988</v>
      </c>
      <c r="D174" s="4">
        <f t="shared" si="4"/>
        <v>0.29797544479370108</v>
      </c>
      <c r="E174" s="4">
        <f t="shared" si="5"/>
        <v>8.8789365700004008E-2</v>
      </c>
    </row>
    <row r="175" spans="1:5" x14ac:dyDescent="0.35">
      <c r="A175" t="s">
        <v>178</v>
      </c>
      <c r="B175" s="2">
        <v>3.36</v>
      </c>
      <c r="C175" s="4">
        <v>3.6381897926330571</v>
      </c>
      <c r="D175" s="4">
        <f t="shared" si="4"/>
        <v>0.27818979263305721</v>
      </c>
      <c r="E175" s="4">
        <f t="shared" si="5"/>
        <v>7.7389560725223377E-2</v>
      </c>
    </row>
    <row r="176" spans="1:5" x14ac:dyDescent="0.35">
      <c r="A176" t="s">
        <v>179</v>
      </c>
      <c r="B176" s="2">
        <v>4.3099999999999996</v>
      </c>
      <c r="C176" s="4">
        <v>4.1936016082763672</v>
      </c>
      <c r="D176" s="4">
        <f t="shared" si="4"/>
        <v>0.11639839172363242</v>
      </c>
      <c r="E176" s="4">
        <f t="shared" si="5"/>
        <v>1.354858559584818E-2</v>
      </c>
    </row>
    <row r="177" spans="1:5" x14ac:dyDescent="0.35">
      <c r="A177" t="s">
        <v>180</v>
      </c>
      <c r="B177" s="2">
        <v>4.09</v>
      </c>
      <c r="C177" s="4">
        <v>4.2213540077209473</v>
      </c>
      <c r="D177" s="4">
        <f t="shared" si="4"/>
        <v>0.13135400772094741</v>
      </c>
      <c r="E177" s="4">
        <f t="shared" si="5"/>
        <v>1.725387534435471E-2</v>
      </c>
    </row>
    <row r="178" spans="1:5" x14ac:dyDescent="0.35">
      <c r="A178" t="s">
        <v>181</v>
      </c>
      <c r="B178" s="2">
        <v>3.54</v>
      </c>
      <c r="C178" s="4">
        <v>4.2908182144165039</v>
      </c>
      <c r="D178" s="4">
        <f t="shared" si="4"/>
        <v>0.75081821441650387</v>
      </c>
      <c r="E178" s="4">
        <f t="shared" si="5"/>
        <v>0.56372799109958716</v>
      </c>
    </row>
    <row r="179" spans="1:5" x14ac:dyDescent="0.35">
      <c r="A179" t="s">
        <v>182</v>
      </c>
      <c r="B179" s="2">
        <v>2.29</v>
      </c>
      <c r="C179" s="4">
        <v>4.1245255470275879</v>
      </c>
      <c r="D179" s="4">
        <f t="shared" si="4"/>
        <v>1.8345255470275879</v>
      </c>
      <c r="E179" s="4">
        <f t="shared" si="5"/>
        <v>3.3654839826968703</v>
      </c>
    </row>
    <row r="180" spans="1:5" x14ac:dyDescent="0.35">
      <c r="A180" t="s">
        <v>183</v>
      </c>
      <c r="B180" s="2">
        <v>4.33</v>
      </c>
      <c r="C180" s="4">
        <v>3.9410803318023682</v>
      </c>
      <c r="D180" s="4">
        <f t="shared" si="4"/>
        <v>0.38891966819763191</v>
      </c>
      <c r="E180" s="4">
        <f t="shared" si="5"/>
        <v>0.15125850831095611</v>
      </c>
    </row>
    <row r="181" spans="1:5" x14ac:dyDescent="0.35">
      <c r="A181" t="s">
        <v>184</v>
      </c>
      <c r="B181" s="2">
        <v>3.53</v>
      </c>
      <c r="C181" s="4">
        <v>3.8930289745330811</v>
      </c>
      <c r="D181" s="4">
        <f t="shared" si="4"/>
        <v>0.36302897453308125</v>
      </c>
      <c r="E181" s="4">
        <f t="shared" si="5"/>
        <v>0.13179003635054057</v>
      </c>
    </row>
    <row r="182" spans="1:5" x14ac:dyDescent="0.35">
      <c r="A182" t="s">
        <v>185</v>
      </c>
      <c r="B182" s="2">
        <v>2.92</v>
      </c>
      <c r="C182" s="4">
        <v>3.8387138843536381</v>
      </c>
      <c r="D182" s="4">
        <f t="shared" si="4"/>
        <v>0.91871388435363821</v>
      </c>
      <c r="E182" s="4">
        <f t="shared" si="5"/>
        <v>0.84403520130415011</v>
      </c>
    </row>
    <row r="183" spans="1:5" x14ac:dyDescent="0.35">
      <c r="A183" t="s">
        <v>186</v>
      </c>
      <c r="B183" s="2">
        <v>4.49</v>
      </c>
      <c r="C183" s="4">
        <v>4.2250666618347168</v>
      </c>
      <c r="D183" s="4">
        <f t="shared" si="4"/>
        <v>0.26493333816528342</v>
      </c>
      <c r="E183" s="4">
        <f t="shared" si="5"/>
        <v>7.0189673671400415E-2</v>
      </c>
    </row>
    <row r="184" spans="1:5" x14ac:dyDescent="0.35">
      <c r="A184" t="s">
        <v>187</v>
      </c>
      <c r="B184" s="2">
        <v>4.37</v>
      </c>
      <c r="C184" s="4">
        <v>4.1375389099121094</v>
      </c>
      <c r="D184" s="4">
        <f t="shared" si="4"/>
        <v>0.23246109008789073</v>
      </c>
      <c r="E184" s="4">
        <f t="shared" si="5"/>
        <v>5.4038158404850448E-2</v>
      </c>
    </row>
    <row r="185" spans="1:5" x14ac:dyDescent="0.35">
      <c r="A185" t="s">
        <v>188</v>
      </c>
      <c r="B185" s="2">
        <v>3.81</v>
      </c>
      <c r="C185" s="4">
        <v>4.1984333992004386</v>
      </c>
      <c r="D185" s="4">
        <f t="shared" si="4"/>
        <v>0.38843339920043851</v>
      </c>
      <c r="E185" s="4">
        <f t="shared" si="5"/>
        <v>0.15088050561440722</v>
      </c>
    </row>
    <row r="186" spans="1:5" x14ac:dyDescent="0.35">
      <c r="A186" t="s">
        <v>189</v>
      </c>
      <c r="B186" s="2">
        <v>1.93</v>
      </c>
      <c r="C186" s="4">
        <v>4.0138258934020996</v>
      </c>
      <c r="D186" s="4">
        <f t="shared" si="4"/>
        <v>2.0838258934020999</v>
      </c>
      <c r="E186" s="4">
        <f t="shared" si="5"/>
        <v>4.3423303540130602</v>
      </c>
    </row>
    <row r="187" spans="1:5" x14ac:dyDescent="0.35">
      <c r="A187" t="s">
        <v>190</v>
      </c>
      <c r="B187" s="2">
        <v>1.4</v>
      </c>
      <c r="C187" s="4">
        <v>3.989328145980835</v>
      </c>
      <c r="D187" s="4">
        <f t="shared" si="4"/>
        <v>2.589328145980835</v>
      </c>
      <c r="E187" s="4">
        <f t="shared" si="5"/>
        <v>6.704620247568549</v>
      </c>
    </row>
    <row r="188" spans="1:5" x14ac:dyDescent="0.35">
      <c r="A188" t="s">
        <v>191</v>
      </c>
      <c r="B188" s="2">
        <v>4.2</v>
      </c>
      <c r="C188" s="4">
        <v>3.8093738555908199</v>
      </c>
      <c r="D188" s="4">
        <f t="shared" si="4"/>
        <v>0.39062614440918031</v>
      </c>
      <c r="E188" s="4">
        <f t="shared" si="5"/>
        <v>0.15258878469598178</v>
      </c>
    </row>
    <row r="189" spans="1:5" x14ac:dyDescent="0.35">
      <c r="A189" t="s">
        <v>192</v>
      </c>
      <c r="B189" s="2">
        <v>3.63</v>
      </c>
      <c r="C189" s="4">
        <v>3.7581906318664551</v>
      </c>
      <c r="D189" s="4">
        <f t="shared" si="4"/>
        <v>0.12819063186645518</v>
      </c>
      <c r="E189" s="4">
        <f t="shared" si="5"/>
        <v>1.6432838098321037E-2</v>
      </c>
    </row>
    <row r="190" spans="1:5" x14ac:dyDescent="0.35">
      <c r="A190" t="s">
        <v>193</v>
      </c>
      <c r="B190" s="2">
        <v>2.21</v>
      </c>
      <c r="C190" s="4">
        <v>3.6694140434265141</v>
      </c>
      <c r="D190" s="4">
        <f t="shared" si="4"/>
        <v>1.4594140434265142</v>
      </c>
      <c r="E190" s="4">
        <f t="shared" si="5"/>
        <v>2.1298893501505272</v>
      </c>
    </row>
    <row r="191" spans="1:5" x14ac:dyDescent="0.35">
      <c r="A191" t="s">
        <v>194</v>
      </c>
      <c r="B191" s="2">
        <v>1.52</v>
      </c>
      <c r="C191" s="4">
        <v>3.6162621974945068</v>
      </c>
      <c r="D191" s="4">
        <f t="shared" si="4"/>
        <v>2.0962621974945068</v>
      </c>
      <c r="E191" s="4">
        <f t="shared" si="5"/>
        <v>4.394315200644499</v>
      </c>
    </row>
    <row r="192" spans="1:5" x14ac:dyDescent="0.35">
      <c r="A192" t="s">
        <v>195</v>
      </c>
      <c r="B192" s="2">
        <v>3.96</v>
      </c>
      <c r="C192" s="4">
        <v>4.1175227165222168</v>
      </c>
      <c r="D192" s="4">
        <f t="shared" si="4"/>
        <v>0.15752271652221683</v>
      </c>
      <c r="E192" s="4">
        <f t="shared" si="5"/>
        <v>2.4813406220538684E-2</v>
      </c>
    </row>
    <row r="193" spans="1:5" x14ac:dyDescent="0.35">
      <c r="A193" t="s">
        <v>196</v>
      </c>
      <c r="B193" s="2">
        <v>3.43</v>
      </c>
      <c r="C193" s="4">
        <v>4.1220784187316886</v>
      </c>
      <c r="D193" s="4">
        <f t="shared" si="4"/>
        <v>0.69207841873168841</v>
      </c>
      <c r="E193" s="4">
        <f t="shared" si="5"/>
        <v>0.47897253767415421</v>
      </c>
    </row>
    <row r="194" spans="1:5" x14ac:dyDescent="0.35">
      <c r="A194" t="s">
        <v>197</v>
      </c>
      <c r="B194" s="2">
        <v>2.74</v>
      </c>
      <c r="C194" s="4">
        <v>4.035090446472168</v>
      </c>
      <c r="D194" s="4">
        <f t="shared" si="4"/>
        <v>1.2950904464721678</v>
      </c>
      <c r="E194" s="4">
        <f t="shared" si="5"/>
        <v>1.6772592645434787</v>
      </c>
    </row>
    <row r="195" spans="1:5" x14ac:dyDescent="0.35">
      <c r="A195" t="s">
        <v>198</v>
      </c>
      <c r="B195" s="2">
        <v>3.72</v>
      </c>
      <c r="C195" s="4">
        <v>3.5218455791473389</v>
      </c>
      <c r="D195" s="4">
        <f t="shared" ref="D195:D258" si="6">ABS(B195-C195)</f>
        <v>0.19815442085266133</v>
      </c>
      <c r="E195" s="4">
        <f t="shared" ref="E195:E258" si="7">(B195-C195)^2</f>
        <v>3.9265174503453626E-2</v>
      </c>
    </row>
    <row r="196" spans="1:5" x14ac:dyDescent="0.35">
      <c r="A196" t="s">
        <v>199</v>
      </c>
      <c r="B196" s="2">
        <v>3.62</v>
      </c>
      <c r="C196" s="4">
        <v>3.665621280670166</v>
      </c>
      <c r="D196" s="4">
        <f t="shared" si="6"/>
        <v>4.5621280670165909E-2</v>
      </c>
      <c r="E196" s="4">
        <f t="shared" si="7"/>
        <v>2.0813012499860538E-3</v>
      </c>
    </row>
    <row r="197" spans="1:5" x14ac:dyDescent="0.35">
      <c r="A197" t="s">
        <v>200</v>
      </c>
      <c r="B197" s="2">
        <v>2.95</v>
      </c>
      <c r="C197" s="4">
        <v>3.6322307586669922</v>
      </c>
      <c r="D197" s="4">
        <f t="shared" si="6"/>
        <v>0.68223075866699201</v>
      </c>
      <c r="E197" s="4">
        <f t="shared" si="7"/>
        <v>0.46543880807133947</v>
      </c>
    </row>
    <row r="198" spans="1:5" x14ac:dyDescent="0.35">
      <c r="A198" t="s">
        <v>201</v>
      </c>
      <c r="B198" s="2">
        <v>4.24</v>
      </c>
      <c r="C198" s="4">
        <v>4.2077088356018066</v>
      </c>
      <c r="D198" s="4">
        <f t="shared" si="6"/>
        <v>3.2291164398193573E-2</v>
      </c>
      <c r="E198" s="4">
        <f t="shared" si="7"/>
        <v>1.0427192981911641E-3</v>
      </c>
    </row>
    <row r="199" spans="1:5" x14ac:dyDescent="0.35">
      <c r="A199" t="s">
        <v>202</v>
      </c>
      <c r="B199" s="2">
        <v>4.0599999999999996</v>
      </c>
      <c r="C199" s="4">
        <v>4.1670064926147461</v>
      </c>
      <c r="D199" s="4">
        <f t="shared" si="6"/>
        <v>0.10700649261474648</v>
      </c>
      <c r="E199" s="4">
        <f t="shared" si="7"/>
        <v>1.1450389461709794E-2</v>
      </c>
    </row>
    <row r="200" spans="1:5" x14ac:dyDescent="0.35">
      <c r="A200" t="s">
        <v>203</v>
      </c>
      <c r="B200" s="2">
        <v>3.56</v>
      </c>
      <c r="C200" s="4">
        <v>4.1766800880432129</v>
      </c>
      <c r="D200" s="4">
        <f t="shared" si="6"/>
        <v>0.61668008804321284</v>
      </c>
      <c r="E200" s="4">
        <f t="shared" si="7"/>
        <v>0.38029433098898474</v>
      </c>
    </row>
    <row r="201" spans="1:5" x14ac:dyDescent="0.35">
      <c r="A201" t="s">
        <v>204</v>
      </c>
      <c r="B201" s="2">
        <v>2.73</v>
      </c>
      <c r="C201" s="4">
        <v>4.2336087226867676</v>
      </c>
      <c r="D201" s="4">
        <f t="shared" si="6"/>
        <v>1.5036087226867676</v>
      </c>
      <c r="E201" s="4">
        <f t="shared" si="7"/>
        <v>2.2608391909397327</v>
      </c>
    </row>
    <row r="202" spans="1:5" x14ac:dyDescent="0.35">
      <c r="A202" t="s">
        <v>205</v>
      </c>
      <c r="B202" s="2">
        <v>4.05</v>
      </c>
      <c r="C202" s="4">
        <v>3.758901834487915</v>
      </c>
      <c r="D202" s="4">
        <f t="shared" si="6"/>
        <v>0.29109816551208478</v>
      </c>
      <c r="E202" s="4">
        <f t="shared" si="7"/>
        <v>8.4738141964501107E-2</v>
      </c>
    </row>
    <row r="203" spans="1:5" x14ac:dyDescent="0.35">
      <c r="A203" t="s">
        <v>206</v>
      </c>
      <c r="B203" s="2">
        <v>3.54</v>
      </c>
      <c r="C203" s="4">
        <v>3.870558500289917</v>
      </c>
      <c r="D203" s="4">
        <f t="shared" si="6"/>
        <v>0.33055850028991696</v>
      </c>
      <c r="E203" s="4">
        <f t="shared" si="7"/>
        <v>0.10926892211391903</v>
      </c>
    </row>
    <row r="204" spans="1:5" x14ac:dyDescent="0.35">
      <c r="A204" t="s">
        <v>207</v>
      </c>
      <c r="B204" s="2">
        <v>3.17</v>
      </c>
      <c r="C204" s="4">
        <v>3.8291254043579102</v>
      </c>
      <c r="D204" s="4">
        <f t="shared" si="6"/>
        <v>0.65912540435791023</v>
      </c>
      <c r="E204" s="4">
        <f t="shared" si="7"/>
        <v>0.43444629866997864</v>
      </c>
    </row>
    <row r="205" spans="1:5" x14ac:dyDescent="0.35">
      <c r="A205" t="s">
        <v>208</v>
      </c>
      <c r="B205" s="2">
        <v>4.47</v>
      </c>
      <c r="C205" s="4">
        <v>3.5465507507324219</v>
      </c>
      <c r="D205" s="4">
        <f t="shared" si="6"/>
        <v>0.92344924926757788</v>
      </c>
      <c r="E205" s="4">
        <f t="shared" si="7"/>
        <v>0.85275851597285313</v>
      </c>
    </row>
    <row r="206" spans="1:5" x14ac:dyDescent="0.35">
      <c r="A206" t="s">
        <v>209</v>
      </c>
      <c r="B206" s="2">
        <v>3.41</v>
      </c>
      <c r="C206" s="4">
        <v>3.5606639385223389</v>
      </c>
      <c r="D206" s="4">
        <f t="shared" si="6"/>
        <v>0.15066393852233873</v>
      </c>
      <c r="E206" s="4">
        <f t="shared" si="7"/>
        <v>2.2699622371063061E-2</v>
      </c>
    </row>
    <row r="207" spans="1:5" x14ac:dyDescent="0.35">
      <c r="A207" t="s">
        <v>210</v>
      </c>
      <c r="B207" s="2">
        <v>2.14</v>
      </c>
      <c r="C207" s="4">
        <v>3.4843814373016362</v>
      </c>
      <c r="D207" s="4">
        <f t="shared" si="6"/>
        <v>1.3443814373016361</v>
      </c>
      <c r="E207" s="4">
        <f t="shared" si="7"/>
        <v>1.8073614489612129</v>
      </c>
    </row>
    <row r="208" spans="1:5" x14ac:dyDescent="0.35">
      <c r="A208" t="s">
        <v>211</v>
      </c>
      <c r="B208" s="2">
        <v>1.4</v>
      </c>
      <c r="C208" s="4">
        <v>3.3830525875091548</v>
      </c>
      <c r="D208" s="4">
        <f t="shared" si="6"/>
        <v>1.9830525875091549</v>
      </c>
      <c r="E208" s="4">
        <f t="shared" si="7"/>
        <v>3.9324975648267544</v>
      </c>
    </row>
    <row r="209" spans="1:5" x14ac:dyDescent="0.35">
      <c r="A209" t="s">
        <v>212</v>
      </c>
      <c r="B209" s="2">
        <v>4.47</v>
      </c>
      <c r="C209" s="4">
        <v>3.9022328853607182</v>
      </c>
      <c r="D209" s="4">
        <f t="shared" si="6"/>
        <v>0.56776711463928153</v>
      </c>
      <c r="E209" s="4">
        <f t="shared" si="7"/>
        <v>0.32235949646581508</v>
      </c>
    </row>
    <row r="210" spans="1:5" x14ac:dyDescent="0.35">
      <c r="A210" t="s">
        <v>213</v>
      </c>
      <c r="B210" s="2">
        <v>2.5</v>
      </c>
      <c r="C210" s="4">
        <v>3.8058755397796631</v>
      </c>
      <c r="D210" s="4">
        <f t="shared" si="6"/>
        <v>1.3058755397796631</v>
      </c>
      <c r="E210" s="4">
        <f t="shared" si="7"/>
        <v>1.7053109253948264</v>
      </c>
    </row>
    <row r="211" spans="1:5" x14ac:dyDescent="0.35">
      <c r="A211" t="s">
        <v>214</v>
      </c>
      <c r="B211" s="2">
        <v>1.28</v>
      </c>
      <c r="C211" s="4">
        <v>3.6849641799926758</v>
      </c>
      <c r="D211" s="4">
        <f t="shared" si="6"/>
        <v>2.4049641799926755</v>
      </c>
      <c r="E211" s="4">
        <f t="shared" si="7"/>
        <v>5.783852707047842</v>
      </c>
    </row>
    <row r="212" spans="1:5" x14ac:dyDescent="0.35">
      <c r="A212" t="s">
        <v>215</v>
      </c>
      <c r="B212" s="2">
        <v>4.51</v>
      </c>
      <c r="C212" s="4">
        <v>3.4861643314361568</v>
      </c>
      <c r="D212" s="4">
        <f t="shared" si="6"/>
        <v>1.023835668563843</v>
      </c>
      <c r="E212" s="4">
        <f t="shared" si="7"/>
        <v>1.0482394762235714</v>
      </c>
    </row>
    <row r="213" spans="1:5" x14ac:dyDescent="0.35">
      <c r="A213" t="s">
        <v>216</v>
      </c>
      <c r="B213" s="2">
        <v>3.31</v>
      </c>
      <c r="C213" s="4">
        <v>3.3875548839569092</v>
      </c>
      <c r="D213" s="4">
        <f t="shared" si="6"/>
        <v>7.7554883956909126E-2</v>
      </c>
      <c r="E213" s="4">
        <f t="shared" si="7"/>
        <v>6.0147600255696402E-3</v>
      </c>
    </row>
    <row r="214" spans="1:5" x14ac:dyDescent="0.35">
      <c r="A214" t="s">
        <v>217</v>
      </c>
      <c r="B214" s="2">
        <v>1.79</v>
      </c>
      <c r="C214" s="4">
        <v>3.2595920562744141</v>
      </c>
      <c r="D214" s="4">
        <f t="shared" si="6"/>
        <v>1.469592056274414</v>
      </c>
      <c r="E214" s="4">
        <f t="shared" si="7"/>
        <v>2.1597008118648606</v>
      </c>
    </row>
    <row r="215" spans="1:5" x14ac:dyDescent="0.35">
      <c r="A215" t="s">
        <v>218</v>
      </c>
      <c r="B215" s="2">
        <v>1.19</v>
      </c>
      <c r="C215" s="4">
        <v>3.085407972335815</v>
      </c>
      <c r="D215" s="4">
        <f t="shared" si="6"/>
        <v>1.895407972335815</v>
      </c>
      <c r="E215" s="4">
        <f t="shared" si="7"/>
        <v>3.592571381594166</v>
      </c>
    </row>
    <row r="216" spans="1:5" x14ac:dyDescent="0.35">
      <c r="A216" t="s">
        <v>219</v>
      </c>
      <c r="B216" s="2">
        <v>4.74</v>
      </c>
      <c r="C216" s="4">
        <v>3.7822475433349609</v>
      </c>
      <c r="D216" s="4">
        <f t="shared" si="6"/>
        <v>0.95775245666503928</v>
      </c>
      <c r="E216" s="4">
        <f t="shared" si="7"/>
        <v>0.91728976824791797</v>
      </c>
    </row>
    <row r="217" spans="1:5" x14ac:dyDescent="0.35">
      <c r="A217" t="s">
        <v>220</v>
      </c>
      <c r="B217" s="2">
        <v>4.58</v>
      </c>
      <c r="C217" s="4">
        <v>3.917070627212524</v>
      </c>
      <c r="D217" s="4">
        <f t="shared" si="6"/>
        <v>0.6629293727874761</v>
      </c>
      <c r="E217" s="4">
        <f t="shared" si="7"/>
        <v>0.43947535330439647</v>
      </c>
    </row>
    <row r="218" spans="1:5" x14ac:dyDescent="0.35">
      <c r="A218" t="s">
        <v>221</v>
      </c>
      <c r="B218" s="2">
        <v>3.12</v>
      </c>
      <c r="C218" s="4">
        <v>3.554973840713501</v>
      </c>
      <c r="D218" s="4">
        <f t="shared" si="6"/>
        <v>0.43497384071350087</v>
      </c>
      <c r="E218" s="4">
        <f t="shared" si="7"/>
        <v>0.18920224210505401</v>
      </c>
    </row>
    <row r="219" spans="1:5" x14ac:dyDescent="0.35">
      <c r="A219" t="s">
        <v>222</v>
      </c>
      <c r="B219" s="2">
        <v>1.66</v>
      </c>
      <c r="C219" s="4">
        <v>3.5349609851837158</v>
      </c>
      <c r="D219" s="4">
        <f t="shared" si="6"/>
        <v>1.8749609851837159</v>
      </c>
      <c r="E219" s="4">
        <f t="shared" si="7"/>
        <v>3.5154786959610904</v>
      </c>
    </row>
    <row r="220" spans="1:5" x14ac:dyDescent="0.35">
      <c r="A220" t="s">
        <v>223</v>
      </c>
      <c r="B220" s="2">
        <v>1.19</v>
      </c>
      <c r="C220" s="4">
        <v>3.513679981231689</v>
      </c>
      <c r="D220" s="4">
        <f t="shared" si="6"/>
        <v>2.3236799812316891</v>
      </c>
      <c r="E220" s="4">
        <f t="shared" si="7"/>
        <v>5.3994886551769028</v>
      </c>
    </row>
    <row r="221" spans="1:5" x14ac:dyDescent="0.35">
      <c r="A221" t="s">
        <v>224</v>
      </c>
      <c r="B221" s="2">
        <v>4.28</v>
      </c>
      <c r="C221" s="4">
        <v>3.0166714191436772</v>
      </c>
      <c r="D221" s="4">
        <f t="shared" si="6"/>
        <v>1.263328580856323</v>
      </c>
      <c r="E221" s="4">
        <f t="shared" si="7"/>
        <v>1.5959991032084511</v>
      </c>
    </row>
    <row r="222" spans="1:5" x14ac:dyDescent="0.35">
      <c r="A222" t="s">
        <v>225</v>
      </c>
      <c r="B222" s="2">
        <v>3.59</v>
      </c>
      <c r="C222" s="4">
        <v>3.33616042137146</v>
      </c>
      <c r="D222" s="4">
        <f t="shared" si="6"/>
        <v>0.2538395786285399</v>
      </c>
      <c r="E222" s="4">
        <f t="shared" si="7"/>
        <v>6.4434531678314685E-2</v>
      </c>
    </row>
    <row r="223" spans="1:5" x14ac:dyDescent="0.35">
      <c r="A223" t="s">
        <v>226</v>
      </c>
      <c r="B223" s="2">
        <v>2.56</v>
      </c>
      <c r="C223" s="4">
        <v>3.3465662002563481</v>
      </c>
      <c r="D223" s="4">
        <f t="shared" si="6"/>
        <v>0.78656620025634805</v>
      </c>
      <c r="E223" s="4">
        <f t="shared" si="7"/>
        <v>0.61868638738570947</v>
      </c>
    </row>
    <row r="224" spans="1:5" x14ac:dyDescent="0.35">
      <c r="A224" t="s">
        <v>227</v>
      </c>
      <c r="B224" s="2">
        <v>1.45</v>
      </c>
      <c r="C224" s="4">
        <v>3.322569608688354</v>
      </c>
      <c r="D224" s="4">
        <f t="shared" si="6"/>
        <v>1.8725696086883541</v>
      </c>
      <c r="E224" s="4">
        <f t="shared" si="7"/>
        <v>3.5065169393832556</v>
      </c>
    </row>
    <row r="225" spans="1:5" x14ac:dyDescent="0.35">
      <c r="A225" t="s">
        <v>228</v>
      </c>
      <c r="B225" s="2">
        <v>4.2699999999999996</v>
      </c>
      <c r="C225" s="4">
        <v>3.5945355892181401</v>
      </c>
      <c r="D225" s="4">
        <f t="shared" si="6"/>
        <v>0.67546441078185948</v>
      </c>
      <c r="E225" s="4">
        <f t="shared" si="7"/>
        <v>0.45625217023288461</v>
      </c>
    </row>
    <row r="226" spans="1:5" x14ac:dyDescent="0.35">
      <c r="A226" t="s">
        <v>229</v>
      </c>
      <c r="B226" s="2">
        <v>2.98</v>
      </c>
      <c r="C226" s="4">
        <v>3.5973408222198491</v>
      </c>
      <c r="D226" s="4">
        <f t="shared" si="6"/>
        <v>0.61734082221984909</v>
      </c>
      <c r="E226" s="4">
        <f t="shared" si="7"/>
        <v>0.3811096907790793</v>
      </c>
    </row>
    <row r="227" spans="1:5" x14ac:dyDescent="0.35">
      <c r="A227" t="s">
        <v>230</v>
      </c>
      <c r="B227" s="2">
        <v>1.76</v>
      </c>
      <c r="C227" s="4">
        <v>3.627092599868774</v>
      </c>
      <c r="D227" s="4">
        <f t="shared" si="6"/>
        <v>1.867092599868774</v>
      </c>
      <c r="E227" s="4">
        <f t="shared" si="7"/>
        <v>3.4860347764847375</v>
      </c>
    </row>
    <row r="228" spans="1:5" x14ac:dyDescent="0.35">
      <c r="A228" t="s">
        <v>231</v>
      </c>
      <c r="B228" s="2">
        <v>1.48</v>
      </c>
      <c r="C228" s="4">
        <v>3.7596251964569092</v>
      </c>
      <c r="D228" s="4">
        <f t="shared" si="6"/>
        <v>2.2796251964569092</v>
      </c>
      <c r="E228" s="4">
        <f t="shared" si="7"/>
        <v>5.1966910363212016</v>
      </c>
    </row>
    <row r="229" spans="1:5" x14ac:dyDescent="0.35">
      <c r="A229" t="s">
        <v>232</v>
      </c>
      <c r="B229" s="2">
        <v>4.45</v>
      </c>
      <c r="C229" s="4">
        <v>3.4754126071929932</v>
      </c>
      <c r="D229" s="4">
        <f t="shared" si="6"/>
        <v>0.97458739280700701</v>
      </c>
      <c r="E229" s="4">
        <f t="shared" si="7"/>
        <v>0.94982058621835941</v>
      </c>
    </row>
    <row r="230" spans="1:5" x14ac:dyDescent="0.35">
      <c r="A230" t="s">
        <v>233</v>
      </c>
      <c r="B230" s="2">
        <v>2.72</v>
      </c>
      <c r="C230" s="4">
        <v>3.5574243068695068</v>
      </c>
      <c r="D230" s="4">
        <f t="shared" si="6"/>
        <v>0.83742430686950664</v>
      </c>
      <c r="E230" s="4">
        <f t="shared" si="7"/>
        <v>0.70127946973587363</v>
      </c>
    </row>
    <row r="231" spans="1:5" x14ac:dyDescent="0.35">
      <c r="A231" t="s">
        <v>234</v>
      </c>
      <c r="B231" s="2">
        <v>1.46</v>
      </c>
      <c r="C231" s="4">
        <v>3.4761695861816411</v>
      </c>
      <c r="D231" s="4">
        <f t="shared" si="6"/>
        <v>2.0161695861816411</v>
      </c>
      <c r="E231" s="4">
        <f t="shared" si="7"/>
        <v>4.0649398002438497</v>
      </c>
    </row>
    <row r="232" spans="1:5" x14ac:dyDescent="0.35">
      <c r="A232" t="s">
        <v>235</v>
      </c>
      <c r="B232" s="2">
        <v>4.43</v>
      </c>
      <c r="C232" s="4">
        <v>3.871747493743896</v>
      </c>
      <c r="D232" s="4">
        <f t="shared" si="6"/>
        <v>0.55825250625610368</v>
      </c>
      <c r="E232" s="4">
        <f t="shared" si="7"/>
        <v>0.31164586074122108</v>
      </c>
    </row>
    <row r="233" spans="1:5" x14ac:dyDescent="0.35">
      <c r="A233" t="s">
        <v>236</v>
      </c>
      <c r="B233" s="2">
        <v>2.14</v>
      </c>
      <c r="C233" s="4">
        <v>3.8037981986999512</v>
      </c>
      <c r="D233" s="4">
        <f t="shared" si="6"/>
        <v>1.663798198699951</v>
      </c>
      <c r="E233" s="4">
        <f t="shared" si="7"/>
        <v>2.7682244459972019</v>
      </c>
    </row>
    <row r="234" spans="1:5" x14ac:dyDescent="0.35">
      <c r="A234" t="s">
        <v>237</v>
      </c>
      <c r="B234" s="2">
        <v>1.29</v>
      </c>
      <c r="C234" s="4">
        <v>3.8001453876495361</v>
      </c>
      <c r="D234" s="4">
        <f t="shared" si="6"/>
        <v>2.5101453876495361</v>
      </c>
      <c r="E234" s="4">
        <f t="shared" si="7"/>
        <v>6.3008298671382397</v>
      </c>
    </row>
    <row r="235" spans="1:5" x14ac:dyDescent="0.35">
      <c r="A235" t="s">
        <v>238</v>
      </c>
      <c r="B235" s="2">
        <v>4.2300000000000004</v>
      </c>
      <c r="C235" s="4">
        <v>3.5043566226959229</v>
      </c>
      <c r="D235" s="4">
        <f t="shared" si="6"/>
        <v>0.72564337730407757</v>
      </c>
      <c r="E235" s="4">
        <f t="shared" si="7"/>
        <v>0.52655831102526784</v>
      </c>
    </row>
    <row r="236" spans="1:5" x14ac:dyDescent="0.35">
      <c r="A236" t="s">
        <v>239</v>
      </c>
      <c r="B236" s="2">
        <v>4</v>
      </c>
      <c r="C236" s="4">
        <v>3.498050451278687</v>
      </c>
      <c r="D236" s="4">
        <f t="shared" si="6"/>
        <v>0.50194954872131303</v>
      </c>
      <c r="E236" s="4">
        <f t="shared" si="7"/>
        <v>0.25195334946152981</v>
      </c>
    </row>
    <row r="237" spans="1:5" x14ac:dyDescent="0.35">
      <c r="A237" t="s">
        <v>240</v>
      </c>
      <c r="B237" s="2">
        <v>2.34</v>
      </c>
      <c r="C237" s="4">
        <v>3.5940811634063721</v>
      </c>
      <c r="D237" s="4">
        <f t="shared" si="6"/>
        <v>1.2540811634063722</v>
      </c>
      <c r="E237" s="4">
        <f t="shared" si="7"/>
        <v>1.5727195644106799</v>
      </c>
    </row>
    <row r="238" spans="1:5" x14ac:dyDescent="0.35">
      <c r="A238" t="s">
        <v>241</v>
      </c>
      <c r="B238" s="2">
        <v>1.65</v>
      </c>
      <c r="C238" s="4">
        <v>3.4324967861175542</v>
      </c>
      <c r="D238" s="4">
        <f t="shared" si="6"/>
        <v>1.7824967861175542</v>
      </c>
      <c r="E238" s="4">
        <f t="shared" si="7"/>
        <v>3.1772947925194099</v>
      </c>
    </row>
    <row r="239" spans="1:5" x14ac:dyDescent="0.35">
      <c r="A239" t="s">
        <v>242</v>
      </c>
      <c r="B239" s="2">
        <v>4.3099999999999996</v>
      </c>
      <c r="C239" s="4">
        <v>3.7959716320037842</v>
      </c>
      <c r="D239" s="4">
        <f t="shared" si="6"/>
        <v>0.51402836799621543</v>
      </c>
      <c r="E239" s="4">
        <f t="shared" si="7"/>
        <v>0.26422516310485267</v>
      </c>
    </row>
    <row r="240" spans="1:5" x14ac:dyDescent="0.35">
      <c r="A240" t="s">
        <v>243</v>
      </c>
      <c r="B240" s="2">
        <v>3.57</v>
      </c>
      <c r="C240" s="4">
        <v>3.816717386245728</v>
      </c>
      <c r="D240" s="4">
        <f t="shared" si="6"/>
        <v>0.24671738624572814</v>
      </c>
      <c r="E240" s="4">
        <f t="shared" si="7"/>
        <v>6.0869468675923806E-2</v>
      </c>
    </row>
    <row r="241" spans="1:5" x14ac:dyDescent="0.35">
      <c r="A241" t="s">
        <v>244</v>
      </c>
      <c r="B241" s="2">
        <v>1.87</v>
      </c>
      <c r="C241" s="4">
        <v>3.758816003799438</v>
      </c>
      <c r="D241" s="4">
        <f t="shared" si="6"/>
        <v>1.8888160037994379</v>
      </c>
      <c r="E241" s="4">
        <f t="shared" si="7"/>
        <v>3.5676258962088783</v>
      </c>
    </row>
    <row r="242" spans="1:5" x14ac:dyDescent="0.35">
      <c r="A242" t="s">
        <v>245</v>
      </c>
      <c r="B242" s="2">
        <v>1.41</v>
      </c>
      <c r="C242" s="4">
        <v>3.691983699798584</v>
      </c>
      <c r="D242" s="4">
        <f t="shared" si="6"/>
        <v>2.2819836997985838</v>
      </c>
      <c r="E242" s="4">
        <f t="shared" si="7"/>
        <v>5.207449606146433</v>
      </c>
    </row>
    <row r="243" spans="1:5" x14ac:dyDescent="0.35">
      <c r="A243" t="s">
        <v>246</v>
      </c>
      <c r="B243" s="2">
        <v>4.29</v>
      </c>
      <c r="C243" s="4">
        <v>3.4248876571655269</v>
      </c>
      <c r="D243" s="4">
        <f t="shared" si="6"/>
        <v>0.86511234283447314</v>
      </c>
      <c r="E243" s="4">
        <f t="shared" si="7"/>
        <v>0.74841936572455103</v>
      </c>
    </row>
    <row r="244" spans="1:5" x14ac:dyDescent="0.35">
      <c r="A244" t="s">
        <v>247</v>
      </c>
      <c r="B244" s="2">
        <v>3.58</v>
      </c>
      <c r="C244" s="4">
        <v>3.3720133304595952</v>
      </c>
      <c r="D244" s="4">
        <f t="shared" si="6"/>
        <v>0.2079866695404049</v>
      </c>
      <c r="E244" s="4">
        <f t="shared" si="7"/>
        <v>4.3258454706509589E-2</v>
      </c>
    </row>
    <row r="245" spans="1:5" x14ac:dyDescent="0.35">
      <c r="A245" t="s">
        <v>248</v>
      </c>
      <c r="B245" s="2">
        <v>1.76</v>
      </c>
      <c r="C245" s="4">
        <v>3.2914109230041499</v>
      </c>
      <c r="D245" s="4">
        <f t="shared" si="6"/>
        <v>1.5314109230041499</v>
      </c>
      <c r="E245" s="4">
        <f t="shared" si="7"/>
        <v>2.3452194150964223</v>
      </c>
    </row>
    <row r="246" spans="1:5" x14ac:dyDescent="0.35">
      <c r="A246" t="s">
        <v>249</v>
      </c>
      <c r="B246" s="2">
        <v>1.32</v>
      </c>
      <c r="C246" s="4">
        <v>3.243039608001709</v>
      </c>
      <c r="D246" s="4">
        <f t="shared" si="6"/>
        <v>1.9230396080017089</v>
      </c>
      <c r="E246" s="4">
        <f t="shared" si="7"/>
        <v>3.6980813339433665</v>
      </c>
    </row>
    <row r="247" spans="1:5" x14ac:dyDescent="0.35">
      <c r="A247" t="s">
        <v>250</v>
      </c>
      <c r="B247" s="2">
        <v>4.55</v>
      </c>
      <c r="C247" s="4">
        <v>3.7840056419372559</v>
      </c>
      <c r="D247" s="4">
        <f t="shared" si="6"/>
        <v>0.76599435806274396</v>
      </c>
      <c r="E247" s="4">
        <f t="shared" si="7"/>
        <v>0.58674735658395516</v>
      </c>
    </row>
    <row r="248" spans="1:5" x14ac:dyDescent="0.35">
      <c r="A248" t="s">
        <v>251</v>
      </c>
      <c r="B248" s="2">
        <v>4.2699999999999996</v>
      </c>
      <c r="C248" s="4">
        <v>3.7218790054321289</v>
      </c>
      <c r="D248" s="4">
        <f t="shared" si="6"/>
        <v>0.54812099456787067</v>
      </c>
      <c r="E248" s="4">
        <f t="shared" si="7"/>
        <v>0.30043662468607168</v>
      </c>
    </row>
    <row r="249" spans="1:5" x14ac:dyDescent="0.35">
      <c r="A249" t="s">
        <v>252</v>
      </c>
      <c r="B249" s="2">
        <v>2.52</v>
      </c>
      <c r="C249" s="4">
        <v>3.666080236434937</v>
      </c>
      <c r="D249" s="4">
        <f t="shared" si="6"/>
        <v>1.1460802364349369</v>
      </c>
      <c r="E249" s="4">
        <f t="shared" si="7"/>
        <v>1.3134999083467609</v>
      </c>
    </row>
    <row r="250" spans="1:5" x14ac:dyDescent="0.35">
      <c r="A250" t="s">
        <v>253</v>
      </c>
      <c r="B250" s="2">
        <v>1.53</v>
      </c>
      <c r="C250" s="4">
        <v>3.554965734481812</v>
      </c>
      <c r="D250" s="4">
        <f t="shared" si="6"/>
        <v>2.0249657344818122</v>
      </c>
      <c r="E250" s="4">
        <f t="shared" si="7"/>
        <v>4.1004862258254651</v>
      </c>
    </row>
    <row r="251" spans="1:5" x14ac:dyDescent="0.35">
      <c r="A251" t="s">
        <v>254</v>
      </c>
      <c r="B251" s="2">
        <v>1.21</v>
      </c>
      <c r="C251" s="4">
        <v>3.5409669876098628</v>
      </c>
      <c r="D251" s="4">
        <f t="shared" si="6"/>
        <v>2.3309669876098629</v>
      </c>
      <c r="E251" s="4">
        <f t="shared" si="7"/>
        <v>5.4334070973269988</v>
      </c>
    </row>
    <row r="252" spans="1:5" x14ac:dyDescent="0.35">
      <c r="A252" t="s">
        <v>255</v>
      </c>
      <c r="B252" s="2">
        <v>3.81</v>
      </c>
      <c r="C252" s="4">
        <v>2.9539942741394039</v>
      </c>
      <c r="D252" s="4">
        <f t="shared" si="6"/>
        <v>0.8560057258605962</v>
      </c>
      <c r="E252" s="4">
        <f t="shared" si="7"/>
        <v>0.73274580270612621</v>
      </c>
    </row>
    <row r="253" spans="1:5" x14ac:dyDescent="0.35">
      <c r="A253" t="s">
        <v>256</v>
      </c>
      <c r="B253" s="2">
        <v>3.03</v>
      </c>
      <c r="C253" s="4">
        <v>3.2596137523651119</v>
      </c>
      <c r="D253" s="4">
        <f t="shared" si="6"/>
        <v>0.22961375236511206</v>
      </c>
      <c r="E253" s="4">
        <f t="shared" si="7"/>
        <v>5.2722475275187003E-2</v>
      </c>
    </row>
    <row r="254" spans="1:5" x14ac:dyDescent="0.35">
      <c r="A254" t="s">
        <v>257</v>
      </c>
      <c r="B254" s="2">
        <v>1.78</v>
      </c>
      <c r="C254" s="4">
        <v>3.3072783946990971</v>
      </c>
      <c r="D254" s="4">
        <f t="shared" si="6"/>
        <v>1.5272783946990971</v>
      </c>
      <c r="E254" s="4">
        <f t="shared" si="7"/>
        <v>2.3325792949146509</v>
      </c>
    </row>
    <row r="255" spans="1:5" x14ac:dyDescent="0.35">
      <c r="A255" t="s">
        <v>258</v>
      </c>
      <c r="B255" s="2">
        <v>3.72</v>
      </c>
      <c r="C255" s="4">
        <v>3.5139720439910889</v>
      </c>
      <c r="D255" s="4">
        <f t="shared" si="6"/>
        <v>0.20602795600891133</v>
      </c>
      <c r="E255" s="4">
        <f t="shared" si="7"/>
        <v>4.2447518657209901E-2</v>
      </c>
    </row>
    <row r="256" spans="1:5" x14ac:dyDescent="0.35">
      <c r="A256" t="s">
        <v>259</v>
      </c>
      <c r="B256" s="2">
        <v>3.04</v>
      </c>
      <c r="C256" s="4">
        <v>3.5726742744445801</v>
      </c>
      <c r="D256" s="4">
        <f t="shared" si="6"/>
        <v>0.53267427444458004</v>
      </c>
      <c r="E256" s="4">
        <f t="shared" si="7"/>
        <v>0.28374188265505979</v>
      </c>
    </row>
    <row r="257" spans="1:5" x14ac:dyDescent="0.35">
      <c r="A257" t="s">
        <v>260</v>
      </c>
      <c r="B257" s="2">
        <v>1.44</v>
      </c>
      <c r="C257" s="4">
        <v>3.6896202564239502</v>
      </c>
      <c r="D257" s="4">
        <f t="shared" si="6"/>
        <v>2.2496202564239502</v>
      </c>
      <c r="E257" s="4">
        <f t="shared" si="7"/>
        <v>5.0607912981129592</v>
      </c>
    </row>
    <row r="258" spans="1:5" x14ac:dyDescent="0.35">
      <c r="A258" t="s">
        <v>261</v>
      </c>
      <c r="B258" s="2">
        <v>4.04</v>
      </c>
      <c r="C258" s="4">
        <v>3.445019006729126</v>
      </c>
      <c r="D258" s="4">
        <f t="shared" si="6"/>
        <v>0.59498099327087406</v>
      </c>
      <c r="E258" s="4">
        <f t="shared" si="7"/>
        <v>0.35400238235359588</v>
      </c>
    </row>
    <row r="259" spans="1:5" x14ac:dyDescent="0.35">
      <c r="A259" t="s">
        <v>262</v>
      </c>
      <c r="B259" s="2">
        <v>3.7</v>
      </c>
      <c r="C259" s="4">
        <v>3.524800300598145</v>
      </c>
      <c r="D259" s="4">
        <f t="shared" ref="D259:D322" si="8">ABS(B259-C259)</f>
        <v>0.1751996994018552</v>
      </c>
      <c r="E259" s="4">
        <f t="shared" ref="E259:E322" si="9">(B259-C259)^2</f>
        <v>3.0694934670500423E-2</v>
      </c>
    </row>
    <row r="260" spans="1:5" x14ac:dyDescent="0.35">
      <c r="A260" t="s">
        <v>263</v>
      </c>
      <c r="B260" s="2">
        <v>2.48</v>
      </c>
      <c r="C260" s="4">
        <v>3.5062515735626221</v>
      </c>
      <c r="D260" s="4">
        <f t="shared" si="8"/>
        <v>1.0262515735626221</v>
      </c>
      <c r="E260" s="4">
        <f t="shared" si="9"/>
        <v>1.0531922922397579</v>
      </c>
    </row>
    <row r="261" spans="1:5" x14ac:dyDescent="0.35">
      <c r="A261" t="s">
        <v>264</v>
      </c>
      <c r="B261" s="2">
        <v>1.75</v>
      </c>
      <c r="C261" s="4">
        <v>3.567444801330566</v>
      </c>
      <c r="D261" s="4">
        <f t="shared" si="8"/>
        <v>1.817444801330566</v>
      </c>
      <c r="E261" s="4">
        <f t="shared" si="9"/>
        <v>3.3031056058835002</v>
      </c>
    </row>
    <row r="262" spans="1:5" x14ac:dyDescent="0.35">
      <c r="A262" t="s">
        <v>265</v>
      </c>
      <c r="B262" s="2">
        <v>4.08</v>
      </c>
      <c r="C262" s="4">
        <v>3.7971186637878418</v>
      </c>
      <c r="D262" s="4">
        <f t="shared" si="8"/>
        <v>0.28288133621215827</v>
      </c>
      <c r="E262" s="4">
        <f t="shared" si="9"/>
        <v>8.0021850377176129E-2</v>
      </c>
    </row>
    <row r="263" spans="1:5" x14ac:dyDescent="0.35">
      <c r="A263" t="s">
        <v>266</v>
      </c>
      <c r="B263" s="2">
        <v>3.6</v>
      </c>
      <c r="C263" s="4">
        <v>3.7464137077331539</v>
      </c>
      <c r="D263" s="4">
        <f t="shared" si="8"/>
        <v>0.14641370773315376</v>
      </c>
      <c r="E263" s="4">
        <f t="shared" si="9"/>
        <v>2.1436973812169371E-2</v>
      </c>
    </row>
    <row r="264" spans="1:5" x14ac:dyDescent="0.35">
      <c r="A264" t="s">
        <v>267</v>
      </c>
      <c r="B264" s="2">
        <v>2.06</v>
      </c>
      <c r="C264" s="4">
        <v>3.7380518913269039</v>
      </c>
      <c r="D264" s="4">
        <f t="shared" si="8"/>
        <v>1.6780518913269038</v>
      </c>
      <c r="E264" s="4">
        <f t="shared" si="9"/>
        <v>2.8158581499857989</v>
      </c>
    </row>
    <row r="265" spans="1:5" x14ac:dyDescent="0.35">
      <c r="A265" t="s">
        <v>268</v>
      </c>
      <c r="B265" s="2">
        <v>1.56</v>
      </c>
      <c r="C265" s="4">
        <v>3.6592390537261958</v>
      </c>
      <c r="D265" s="4">
        <f t="shared" si="8"/>
        <v>2.0992390537261958</v>
      </c>
      <c r="E265" s="4">
        <f t="shared" si="9"/>
        <v>4.4068046046892535</v>
      </c>
    </row>
    <row r="266" spans="1:5" x14ac:dyDescent="0.35">
      <c r="A266" t="s">
        <v>269</v>
      </c>
      <c r="B266" s="2">
        <v>4.47</v>
      </c>
      <c r="C266" s="4">
        <v>4.2813296318054199</v>
      </c>
      <c r="D266" s="4">
        <f t="shared" si="8"/>
        <v>0.18867036819457983</v>
      </c>
      <c r="E266" s="4">
        <f t="shared" si="9"/>
        <v>3.5596507834678319E-2</v>
      </c>
    </row>
    <row r="267" spans="1:5" x14ac:dyDescent="0.35">
      <c r="A267" t="s">
        <v>270</v>
      </c>
      <c r="B267" s="2">
        <v>4</v>
      </c>
      <c r="C267" s="4">
        <v>4.2741861343383789</v>
      </c>
      <c r="D267" s="4">
        <f t="shared" si="8"/>
        <v>0.27418613433837891</v>
      </c>
      <c r="E267" s="4">
        <f t="shared" si="9"/>
        <v>7.5178036263423564E-2</v>
      </c>
    </row>
    <row r="268" spans="1:5" x14ac:dyDescent="0.35">
      <c r="A268" t="s">
        <v>271</v>
      </c>
      <c r="B268" s="2">
        <v>2.13</v>
      </c>
      <c r="C268" s="4">
        <v>4.1345553398132324</v>
      </c>
      <c r="D268" s="4">
        <f t="shared" si="8"/>
        <v>2.0045553398132325</v>
      </c>
      <c r="E268" s="4">
        <f t="shared" si="9"/>
        <v>4.0182421103737438</v>
      </c>
    </row>
    <row r="269" spans="1:5" x14ac:dyDescent="0.35">
      <c r="A269" t="s">
        <v>272</v>
      </c>
      <c r="B269" s="2">
        <v>4.46</v>
      </c>
      <c r="C269" s="4">
        <v>3.9863989353179932</v>
      </c>
      <c r="D269" s="4">
        <f t="shared" si="8"/>
        <v>0.4736010646820068</v>
      </c>
      <c r="E269" s="4">
        <f t="shared" si="9"/>
        <v>0.22429796846793038</v>
      </c>
    </row>
    <row r="270" spans="1:5" x14ac:dyDescent="0.35">
      <c r="A270" t="s">
        <v>273</v>
      </c>
      <c r="B270" s="2">
        <v>4.0999999999999996</v>
      </c>
      <c r="C270" s="4">
        <v>3.973914623260498</v>
      </c>
      <c r="D270" s="4">
        <f t="shared" si="8"/>
        <v>0.1260853767395016</v>
      </c>
      <c r="E270" s="4">
        <f t="shared" si="9"/>
        <v>1.5897522227542052E-2</v>
      </c>
    </row>
    <row r="271" spans="1:5" x14ac:dyDescent="0.35">
      <c r="A271" t="s">
        <v>274</v>
      </c>
      <c r="B271" s="2">
        <v>3.82</v>
      </c>
      <c r="C271" s="4">
        <v>3.886480331420898</v>
      </c>
      <c r="D271" s="4">
        <f t="shared" si="8"/>
        <v>6.6480331420898153E-2</v>
      </c>
      <c r="E271" s="4">
        <f t="shared" si="9"/>
        <v>4.4196344658324581E-3</v>
      </c>
    </row>
    <row r="272" spans="1:5" x14ac:dyDescent="0.35">
      <c r="A272" t="s">
        <v>275</v>
      </c>
      <c r="B272" s="2">
        <v>2.65</v>
      </c>
      <c r="C272" s="4">
        <v>3.753856897354126</v>
      </c>
      <c r="D272" s="4">
        <f t="shared" si="8"/>
        <v>1.1038568973541261</v>
      </c>
      <c r="E272" s="4">
        <f t="shared" si="9"/>
        <v>1.2185000498362777</v>
      </c>
    </row>
    <row r="273" spans="1:5" x14ac:dyDescent="0.35">
      <c r="A273" t="s">
        <v>276</v>
      </c>
      <c r="B273" s="2">
        <v>4.6900000000000004</v>
      </c>
      <c r="C273" s="4">
        <v>4.2371726036071777</v>
      </c>
      <c r="D273" s="4">
        <f t="shared" si="8"/>
        <v>0.45282739639282266</v>
      </c>
      <c r="E273" s="4">
        <f t="shared" si="9"/>
        <v>0.20505265092390254</v>
      </c>
    </row>
    <row r="274" spans="1:5" x14ac:dyDescent="0.35">
      <c r="A274" t="s">
        <v>277</v>
      </c>
      <c r="B274" s="2">
        <v>4.5599999999999996</v>
      </c>
      <c r="C274" s="4">
        <v>4.2192201614379883</v>
      </c>
      <c r="D274" s="4">
        <f t="shared" si="8"/>
        <v>0.34077983856201133</v>
      </c>
      <c r="E274" s="4">
        <f t="shared" si="9"/>
        <v>0.1161308983703505</v>
      </c>
    </row>
    <row r="275" spans="1:5" x14ac:dyDescent="0.35">
      <c r="A275" t="s">
        <v>278</v>
      </c>
      <c r="B275" s="2">
        <v>3.98</v>
      </c>
      <c r="C275" s="4">
        <v>4.0121302604675293</v>
      </c>
      <c r="D275" s="4">
        <f t="shared" si="8"/>
        <v>3.2130260467529315E-2</v>
      </c>
      <c r="E275" s="4">
        <f t="shared" si="9"/>
        <v>1.0323536377112772E-3</v>
      </c>
    </row>
    <row r="276" spans="1:5" x14ac:dyDescent="0.35">
      <c r="A276" t="s">
        <v>279</v>
      </c>
      <c r="B276" s="2">
        <v>2.2799999999999998</v>
      </c>
      <c r="C276" s="4">
        <v>3.916373729705811</v>
      </c>
      <c r="D276" s="4">
        <f t="shared" si="8"/>
        <v>1.6363737297058112</v>
      </c>
      <c r="E276" s="4">
        <f t="shared" si="9"/>
        <v>2.6777189832713071</v>
      </c>
    </row>
    <row r="277" spans="1:5" x14ac:dyDescent="0.35">
      <c r="A277" t="s">
        <v>280</v>
      </c>
      <c r="B277" s="2">
        <v>1.41</v>
      </c>
      <c r="C277" s="4">
        <v>3.8858144283294682</v>
      </c>
      <c r="D277" s="4">
        <f t="shared" si="8"/>
        <v>2.4758144283294685</v>
      </c>
      <c r="E277" s="4">
        <f t="shared" si="9"/>
        <v>6.1296570835243731</v>
      </c>
    </row>
    <row r="278" spans="1:5" x14ac:dyDescent="0.35">
      <c r="A278" t="s">
        <v>281</v>
      </c>
      <c r="B278" s="2">
        <v>4.42</v>
      </c>
      <c r="C278" s="4">
        <v>4.0365090370178223</v>
      </c>
      <c r="D278" s="4">
        <f t="shared" si="8"/>
        <v>0.38349096298217766</v>
      </c>
      <c r="E278" s="4">
        <f t="shared" si="9"/>
        <v>0.14706531868899797</v>
      </c>
    </row>
    <row r="279" spans="1:5" x14ac:dyDescent="0.35">
      <c r="A279" t="s">
        <v>282</v>
      </c>
      <c r="B279" s="2">
        <v>3.94</v>
      </c>
      <c r="C279" s="4">
        <v>3.6080870628356929</v>
      </c>
      <c r="D279" s="4">
        <f t="shared" si="8"/>
        <v>0.33191293716430703</v>
      </c>
      <c r="E279" s="4">
        <f t="shared" si="9"/>
        <v>0.11016619785703723</v>
      </c>
    </row>
    <row r="280" spans="1:5" x14ac:dyDescent="0.35">
      <c r="A280" t="s">
        <v>283</v>
      </c>
      <c r="B280" s="2">
        <v>2.71</v>
      </c>
      <c r="C280" s="4">
        <v>3.5872893333435059</v>
      </c>
      <c r="D280" s="4">
        <f t="shared" si="8"/>
        <v>0.87728933334350589</v>
      </c>
      <c r="E280" s="4">
        <f t="shared" si="9"/>
        <v>0.76963657439829303</v>
      </c>
    </row>
    <row r="281" spans="1:5" x14ac:dyDescent="0.35">
      <c r="A281" t="s">
        <v>284</v>
      </c>
      <c r="B281" s="2">
        <v>1.89</v>
      </c>
      <c r="C281" s="4">
        <v>3.517553329467773</v>
      </c>
      <c r="D281" s="4">
        <f t="shared" si="8"/>
        <v>1.6275533294677731</v>
      </c>
      <c r="E281" s="4">
        <f t="shared" si="9"/>
        <v>2.6489298402616335</v>
      </c>
    </row>
    <row r="282" spans="1:5" x14ac:dyDescent="0.35">
      <c r="A282" t="s">
        <v>285</v>
      </c>
      <c r="B282" s="2">
        <v>4.1500000000000004</v>
      </c>
      <c r="C282" s="4">
        <v>4.0855178833007813</v>
      </c>
      <c r="D282" s="4">
        <f t="shared" si="8"/>
        <v>6.4482116699219105E-2</v>
      </c>
      <c r="E282" s="4">
        <f t="shared" si="9"/>
        <v>4.1579433740117112E-3</v>
      </c>
    </row>
    <row r="283" spans="1:5" x14ac:dyDescent="0.35">
      <c r="A283" t="s">
        <v>286</v>
      </c>
      <c r="B283" s="2">
        <v>3.16</v>
      </c>
      <c r="C283" s="4">
        <v>3.873842716217041</v>
      </c>
      <c r="D283" s="4">
        <f t="shared" si="8"/>
        <v>0.71384271621704087</v>
      </c>
      <c r="E283" s="4">
        <f t="shared" si="9"/>
        <v>0.50957142349612272</v>
      </c>
    </row>
    <row r="284" spans="1:5" x14ac:dyDescent="0.35">
      <c r="A284" t="s">
        <v>287</v>
      </c>
      <c r="B284" s="2">
        <v>1.96</v>
      </c>
      <c r="C284" s="4">
        <v>4.0305848121643066</v>
      </c>
      <c r="D284" s="4">
        <f t="shared" si="8"/>
        <v>2.0705848121643067</v>
      </c>
      <c r="E284" s="4">
        <f t="shared" si="9"/>
        <v>4.2873214643654975</v>
      </c>
    </row>
    <row r="285" spans="1:5" x14ac:dyDescent="0.35">
      <c r="A285" t="s">
        <v>288</v>
      </c>
      <c r="B285" s="2">
        <v>4.08</v>
      </c>
      <c r="C285" s="4">
        <v>3.469023466110229</v>
      </c>
      <c r="D285" s="4">
        <f t="shared" si="8"/>
        <v>0.61097653388977102</v>
      </c>
      <c r="E285" s="4">
        <f t="shared" si="9"/>
        <v>0.37329232496395853</v>
      </c>
    </row>
    <row r="286" spans="1:5" x14ac:dyDescent="0.35">
      <c r="A286" t="s">
        <v>289</v>
      </c>
      <c r="B286" s="2">
        <v>3.4</v>
      </c>
      <c r="C286" s="4">
        <v>3.559594869613647</v>
      </c>
      <c r="D286" s="4">
        <f t="shared" si="8"/>
        <v>0.15959486961364711</v>
      </c>
      <c r="E286" s="4">
        <f t="shared" si="9"/>
        <v>2.5470522406997022E-2</v>
      </c>
    </row>
    <row r="287" spans="1:5" x14ac:dyDescent="0.35">
      <c r="A287" t="s">
        <v>290</v>
      </c>
      <c r="B287" s="2">
        <v>2.57</v>
      </c>
      <c r="C287" s="4">
        <v>3.5152823925018311</v>
      </c>
      <c r="D287" s="4">
        <f t="shared" si="8"/>
        <v>0.94528239250183121</v>
      </c>
      <c r="E287" s="4">
        <f t="shared" si="9"/>
        <v>0.89355880157398604</v>
      </c>
    </row>
    <row r="288" spans="1:5" x14ac:dyDescent="0.35">
      <c r="A288" t="s">
        <v>291</v>
      </c>
      <c r="B288" s="2">
        <v>4.33</v>
      </c>
      <c r="C288" s="4">
        <v>4.1296391487121582</v>
      </c>
      <c r="D288" s="4">
        <f t="shared" si="8"/>
        <v>0.20036085128784187</v>
      </c>
      <c r="E288" s="4">
        <f t="shared" si="9"/>
        <v>4.0144470728788684E-2</v>
      </c>
    </row>
    <row r="289" spans="1:5" x14ac:dyDescent="0.35">
      <c r="A289" t="s">
        <v>292</v>
      </c>
      <c r="B289" s="2">
        <v>4.09</v>
      </c>
      <c r="C289" s="4">
        <v>4.0777487754821777</v>
      </c>
      <c r="D289" s="4">
        <f t="shared" si="8"/>
        <v>1.2251224517822124E-2</v>
      </c>
      <c r="E289" s="4">
        <f t="shared" si="9"/>
        <v>1.5009250218608593E-4</v>
      </c>
    </row>
    <row r="290" spans="1:5" x14ac:dyDescent="0.35">
      <c r="A290" t="s">
        <v>293</v>
      </c>
      <c r="B290" s="2">
        <v>2.6</v>
      </c>
      <c r="C290" s="4">
        <v>4.183845043182373</v>
      </c>
      <c r="D290" s="4">
        <f t="shared" si="8"/>
        <v>1.583845043182373</v>
      </c>
      <c r="E290" s="4">
        <f t="shared" si="9"/>
        <v>2.508565120813373</v>
      </c>
    </row>
    <row r="291" spans="1:5" x14ac:dyDescent="0.35">
      <c r="A291" t="s">
        <v>294</v>
      </c>
      <c r="B291" s="2">
        <v>4.3099999999999996</v>
      </c>
      <c r="C291" s="4">
        <v>3.9249825477600102</v>
      </c>
      <c r="D291" s="4">
        <f t="shared" si="8"/>
        <v>0.3850174522399894</v>
      </c>
      <c r="E291" s="4">
        <f t="shared" si="9"/>
        <v>0.14823843852937252</v>
      </c>
    </row>
    <row r="292" spans="1:5" x14ac:dyDescent="0.35">
      <c r="A292" t="s">
        <v>295</v>
      </c>
      <c r="B292" s="2">
        <v>4.09</v>
      </c>
      <c r="C292" s="4">
        <v>3.8721470832824711</v>
      </c>
      <c r="D292" s="4">
        <f t="shared" si="8"/>
        <v>0.21785291671752871</v>
      </c>
      <c r="E292" s="4">
        <f t="shared" si="9"/>
        <v>4.7459893322334502E-2</v>
      </c>
    </row>
    <row r="293" spans="1:5" x14ac:dyDescent="0.35">
      <c r="A293" t="s">
        <v>296</v>
      </c>
      <c r="B293" s="2">
        <v>3.21</v>
      </c>
      <c r="C293" s="4">
        <v>3.7700819969177251</v>
      </c>
      <c r="D293" s="4">
        <f t="shared" si="8"/>
        <v>0.56008199691772509</v>
      </c>
      <c r="E293" s="4">
        <f t="shared" si="9"/>
        <v>0.31369184327134664</v>
      </c>
    </row>
    <row r="294" spans="1:5" x14ac:dyDescent="0.35">
      <c r="A294" t="s">
        <v>297</v>
      </c>
      <c r="B294" s="2">
        <v>2.64</v>
      </c>
      <c r="C294" s="4">
        <v>3.777822732925415</v>
      </c>
      <c r="D294" s="4">
        <f t="shared" si="8"/>
        <v>1.1378227329254149</v>
      </c>
      <c r="E294" s="4">
        <f t="shared" si="9"/>
        <v>1.2946405715618601</v>
      </c>
    </row>
    <row r="295" spans="1:5" x14ac:dyDescent="0.35">
      <c r="A295" t="s">
        <v>298</v>
      </c>
      <c r="B295" s="2">
        <v>4.01</v>
      </c>
      <c r="C295" s="4">
        <v>3.524258136749268</v>
      </c>
      <c r="D295" s="4">
        <f t="shared" si="8"/>
        <v>0.48574186325073176</v>
      </c>
      <c r="E295" s="4">
        <f t="shared" si="9"/>
        <v>0.23594515771429259</v>
      </c>
    </row>
    <row r="296" spans="1:5" x14ac:dyDescent="0.35">
      <c r="A296" t="s">
        <v>299</v>
      </c>
      <c r="B296" s="2">
        <v>3.52</v>
      </c>
      <c r="C296" s="4">
        <v>3.541146993637085</v>
      </c>
      <c r="D296" s="4">
        <f t="shared" si="8"/>
        <v>2.1146993637084943E-2</v>
      </c>
      <c r="E296" s="4">
        <f t="shared" si="9"/>
        <v>4.471953398869111E-4</v>
      </c>
    </row>
    <row r="297" spans="1:5" x14ac:dyDescent="0.35">
      <c r="A297" t="s">
        <v>300</v>
      </c>
      <c r="B297" s="2">
        <v>2.71</v>
      </c>
      <c r="C297" s="4">
        <v>3.6186149120330811</v>
      </c>
      <c r="D297" s="4">
        <f t="shared" si="8"/>
        <v>0.90861491203308109</v>
      </c>
      <c r="E297" s="4">
        <f t="shared" si="9"/>
        <v>0.82558105836888374</v>
      </c>
    </row>
    <row r="298" spans="1:5" x14ac:dyDescent="0.35">
      <c r="A298" t="s">
        <v>301</v>
      </c>
      <c r="B298" s="2">
        <v>1.81</v>
      </c>
      <c r="C298" s="4">
        <v>3.4908707141876221</v>
      </c>
      <c r="D298" s="4">
        <f t="shared" si="8"/>
        <v>1.680870714187622</v>
      </c>
      <c r="E298" s="4">
        <f t="shared" si="9"/>
        <v>2.8253263578136063</v>
      </c>
    </row>
    <row r="299" spans="1:5" x14ac:dyDescent="0.35">
      <c r="A299" t="s">
        <v>302</v>
      </c>
      <c r="B299" s="2">
        <v>3.84</v>
      </c>
      <c r="C299" s="4">
        <v>3.8825333118438721</v>
      </c>
      <c r="D299" s="4">
        <f t="shared" si="8"/>
        <v>4.2533311843872212E-2</v>
      </c>
      <c r="E299" s="4">
        <f t="shared" si="9"/>
        <v>1.8090826164080802E-3</v>
      </c>
    </row>
    <row r="300" spans="1:5" x14ac:dyDescent="0.35">
      <c r="A300" t="s">
        <v>303</v>
      </c>
      <c r="B300" s="2">
        <v>2.57</v>
      </c>
      <c r="C300" s="4">
        <v>3.8152542114257808</v>
      </c>
      <c r="D300" s="4">
        <f t="shared" si="8"/>
        <v>1.245254211425781</v>
      </c>
      <c r="E300" s="4">
        <f t="shared" si="9"/>
        <v>1.5506580510736436</v>
      </c>
    </row>
    <row r="301" spans="1:5" x14ac:dyDescent="0.35">
      <c r="A301" t="s">
        <v>304</v>
      </c>
      <c r="B301" s="2">
        <v>1.66</v>
      </c>
      <c r="C301" s="4">
        <v>3.7463521957397461</v>
      </c>
      <c r="D301" s="4">
        <f t="shared" si="8"/>
        <v>2.086352195739746</v>
      </c>
      <c r="E301" s="4">
        <f t="shared" si="9"/>
        <v>4.352865484668059</v>
      </c>
    </row>
    <row r="302" spans="1:5" x14ac:dyDescent="0.35">
      <c r="A302" t="s">
        <v>305</v>
      </c>
      <c r="B302" s="2">
        <v>3.96</v>
      </c>
      <c r="C302" s="4">
        <v>3.4866013526916499</v>
      </c>
      <c r="D302" s="4">
        <f t="shared" si="8"/>
        <v>0.47339864730835002</v>
      </c>
      <c r="E302" s="4">
        <f t="shared" si="9"/>
        <v>0.22410627927337556</v>
      </c>
    </row>
    <row r="303" spans="1:5" x14ac:dyDescent="0.35">
      <c r="A303" t="s">
        <v>306</v>
      </c>
      <c r="B303" s="2">
        <v>2.72</v>
      </c>
      <c r="C303" s="4">
        <v>3.4153602123260498</v>
      </c>
      <c r="D303" s="4">
        <f t="shared" si="8"/>
        <v>0.69536021232604961</v>
      </c>
      <c r="E303" s="4">
        <f t="shared" si="9"/>
        <v>0.48352582488612877</v>
      </c>
    </row>
    <row r="304" spans="1:5" x14ac:dyDescent="0.35">
      <c r="A304" t="s">
        <v>307</v>
      </c>
      <c r="B304" s="2">
        <v>1.99</v>
      </c>
      <c r="C304" s="4">
        <v>3.3233296871185298</v>
      </c>
      <c r="D304" s="4">
        <f t="shared" si="8"/>
        <v>1.3333296871185298</v>
      </c>
      <c r="E304" s="4">
        <f t="shared" si="9"/>
        <v>1.7777680545515966</v>
      </c>
    </row>
    <row r="305" spans="1:5" x14ac:dyDescent="0.35">
      <c r="A305" t="s">
        <v>308</v>
      </c>
      <c r="B305" s="2">
        <v>1.39</v>
      </c>
      <c r="C305" s="4">
        <v>3.2867555618286128</v>
      </c>
      <c r="D305" s="4">
        <f t="shared" si="8"/>
        <v>1.8967555618286129</v>
      </c>
      <c r="E305" s="4">
        <f t="shared" si="9"/>
        <v>3.5976816613277771</v>
      </c>
    </row>
    <row r="306" spans="1:5" x14ac:dyDescent="0.35">
      <c r="A306" t="s">
        <v>309</v>
      </c>
      <c r="B306" s="2">
        <v>4.59</v>
      </c>
      <c r="C306" s="4">
        <v>3.8606793880462651</v>
      </c>
      <c r="D306" s="4">
        <f t="shared" si="8"/>
        <v>0.72932061195373477</v>
      </c>
      <c r="E306" s="4">
        <f t="shared" si="9"/>
        <v>0.53190855502057022</v>
      </c>
    </row>
    <row r="307" spans="1:5" x14ac:dyDescent="0.35">
      <c r="A307" t="s">
        <v>310</v>
      </c>
      <c r="B307" s="2">
        <v>4.05</v>
      </c>
      <c r="C307" s="4">
        <v>3.7365660667419429</v>
      </c>
      <c r="D307" s="4">
        <f t="shared" si="8"/>
        <v>0.31343393325805691</v>
      </c>
      <c r="E307" s="4">
        <f t="shared" si="9"/>
        <v>9.8240830517616076E-2</v>
      </c>
    </row>
    <row r="308" spans="1:5" x14ac:dyDescent="0.35">
      <c r="A308" t="s">
        <v>311</v>
      </c>
      <c r="B308" s="2">
        <v>3.02</v>
      </c>
      <c r="C308" s="4">
        <v>3.646640300750732</v>
      </c>
      <c r="D308" s="4">
        <f t="shared" si="8"/>
        <v>0.62664030075073196</v>
      </c>
      <c r="E308" s="4">
        <f t="shared" si="9"/>
        <v>0.39267806652496778</v>
      </c>
    </row>
    <row r="309" spans="1:5" x14ac:dyDescent="0.35">
      <c r="A309" t="s">
        <v>312</v>
      </c>
      <c r="B309" s="2">
        <v>1.85</v>
      </c>
      <c r="C309" s="4">
        <v>3.6292693614959721</v>
      </c>
      <c r="D309" s="4">
        <f t="shared" si="8"/>
        <v>1.779269361495972</v>
      </c>
      <c r="E309" s="4">
        <f t="shared" si="9"/>
        <v>3.1657994607582842</v>
      </c>
    </row>
    <row r="310" spans="1:5" x14ac:dyDescent="0.35">
      <c r="A310" t="s">
        <v>313</v>
      </c>
      <c r="B310" s="2">
        <v>1.26</v>
      </c>
      <c r="C310" s="4">
        <v>3.4911425113677979</v>
      </c>
      <c r="D310" s="4">
        <f t="shared" si="8"/>
        <v>2.2311425113677981</v>
      </c>
      <c r="E310" s="4">
        <f t="shared" si="9"/>
        <v>4.9779969060326046</v>
      </c>
    </row>
    <row r="311" spans="1:5" x14ac:dyDescent="0.35">
      <c r="A311" t="s">
        <v>314</v>
      </c>
      <c r="B311" s="2">
        <v>3.61</v>
      </c>
      <c r="C311" s="4">
        <v>3.0498723983764648</v>
      </c>
      <c r="D311" s="4">
        <f t="shared" si="8"/>
        <v>0.56012760162353503</v>
      </c>
      <c r="E311" s="4">
        <f t="shared" si="9"/>
        <v>0.31374293010053356</v>
      </c>
    </row>
    <row r="312" spans="1:5" x14ac:dyDescent="0.35">
      <c r="A312" t="s">
        <v>315</v>
      </c>
      <c r="B312" s="2">
        <v>2.4</v>
      </c>
      <c r="C312" s="4">
        <v>3.2167642116546631</v>
      </c>
      <c r="D312" s="4">
        <f t="shared" si="8"/>
        <v>0.81676421165466317</v>
      </c>
      <c r="E312" s="4">
        <f t="shared" si="9"/>
        <v>0.66710377743986338</v>
      </c>
    </row>
    <row r="313" spans="1:5" x14ac:dyDescent="0.35">
      <c r="A313" t="s">
        <v>316</v>
      </c>
      <c r="B313" s="2">
        <v>1.98</v>
      </c>
      <c r="C313" s="4">
        <v>3.1935172080993648</v>
      </c>
      <c r="D313" s="4">
        <f t="shared" si="8"/>
        <v>1.2135172080993648</v>
      </c>
      <c r="E313" s="4">
        <f t="shared" si="9"/>
        <v>1.4726240143532772</v>
      </c>
    </row>
    <row r="314" spans="1:5" x14ac:dyDescent="0.35">
      <c r="A314" t="s">
        <v>317</v>
      </c>
      <c r="B314" s="2">
        <v>3.73</v>
      </c>
      <c r="C314" s="4">
        <v>3.5287590026855469</v>
      </c>
      <c r="D314" s="4">
        <f t="shared" si="8"/>
        <v>0.20124099731445311</v>
      </c>
      <c r="E314" s="4">
        <f t="shared" si="9"/>
        <v>4.0497939000115724E-2</v>
      </c>
    </row>
    <row r="315" spans="1:5" x14ac:dyDescent="0.35">
      <c r="A315" t="s">
        <v>318</v>
      </c>
      <c r="B315" s="2">
        <v>2.25</v>
      </c>
      <c r="C315" s="4">
        <v>3.4795413017272949</v>
      </c>
      <c r="D315" s="4">
        <f t="shared" si="8"/>
        <v>1.2295413017272949</v>
      </c>
      <c r="E315" s="4">
        <f t="shared" si="9"/>
        <v>1.5117718126532509</v>
      </c>
    </row>
    <row r="316" spans="1:5" x14ac:dyDescent="0.35">
      <c r="A316" t="s">
        <v>319</v>
      </c>
      <c r="B316" s="2">
        <v>1.61</v>
      </c>
      <c r="C316" s="4">
        <v>3.6294717788696289</v>
      </c>
      <c r="D316" s="4">
        <f t="shared" si="8"/>
        <v>2.0194717788696286</v>
      </c>
      <c r="E316" s="4">
        <f t="shared" si="9"/>
        <v>4.0782662656508624</v>
      </c>
    </row>
    <row r="317" spans="1:5" x14ac:dyDescent="0.35">
      <c r="A317" t="s">
        <v>320</v>
      </c>
      <c r="B317" s="2">
        <v>3.88</v>
      </c>
      <c r="C317" s="4">
        <v>3.4560599327087398</v>
      </c>
      <c r="D317" s="4">
        <f t="shared" si="8"/>
        <v>0.4239400672912601</v>
      </c>
      <c r="E317" s="4">
        <f t="shared" si="9"/>
        <v>0.17972518065491813</v>
      </c>
    </row>
    <row r="318" spans="1:5" x14ac:dyDescent="0.35">
      <c r="A318" t="s">
        <v>321</v>
      </c>
      <c r="B318" s="2">
        <v>2.82</v>
      </c>
      <c r="C318" s="4">
        <v>3.4514613151550289</v>
      </c>
      <c r="D318" s="4">
        <f t="shared" si="8"/>
        <v>0.63146131515502901</v>
      </c>
      <c r="E318" s="4">
        <f t="shared" si="9"/>
        <v>0.39874339253731889</v>
      </c>
    </row>
    <row r="319" spans="1:5" x14ac:dyDescent="0.35">
      <c r="A319" t="s">
        <v>322</v>
      </c>
      <c r="B319" s="2">
        <v>1.81</v>
      </c>
      <c r="C319" s="4">
        <v>3.5049281120300289</v>
      </c>
      <c r="D319" s="4">
        <f t="shared" si="8"/>
        <v>1.6949281120300288</v>
      </c>
      <c r="E319" s="4">
        <f t="shared" si="9"/>
        <v>2.8727813049496778</v>
      </c>
    </row>
    <row r="320" spans="1:5" x14ac:dyDescent="0.35">
      <c r="A320" t="s">
        <v>323</v>
      </c>
      <c r="B320" s="2">
        <v>3.89</v>
      </c>
      <c r="C320" s="4">
        <v>3.6874315738677979</v>
      </c>
      <c r="D320" s="4">
        <f t="shared" si="8"/>
        <v>0.20256842613220227</v>
      </c>
      <c r="E320" s="4">
        <f t="shared" si="9"/>
        <v>4.1033967265677491E-2</v>
      </c>
    </row>
    <row r="321" spans="1:5" x14ac:dyDescent="0.35">
      <c r="A321" t="s">
        <v>324</v>
      </c>
      <c r="B321" s="2">
        <v>2.63</v>
      </c>
      <c r="C321" s="4">
        <v>3.6724128723144531</v>
      </c>
      <c r="D321" s="4">
        <f t="shared" si="8"/>
        <v>1.0424128723144532</v>
      </c>
      <c r="E321" s="4">
        <f t="shared" si="9"/>
        <v>1.0866245963668686</v>
      </c>
    </row>
    <row r="322" spans="1:5" x14ac:dyDescent="0.35">
      <c r="A322" t="s">
        <v>325</v>
      </c>
      <c r="B322" s="2">
        <v>1.68</v>
      </c>
      <c r="C322" s="4">
        <v>3.6485340595245361</v>
      </c>
      <c r="D322" s="4">
        <f t="shared" si="8"/>
        <v>1.9685340595245362</v>
      </c>
      <c r="E322" s="4">
        <f t="shared" si="9"/>
        <v>3.8751263435081502</v>
      </c>
    </row>
    <row r="323" spans="1:5" x14ac:dyDescent="0.35">
      <c r="A323" t="s">
        <v>326</v>
      </c>
      <c r="B323" s="2">
        <v>4</v>
      </c>
      <c r="C323" s="4">
        <v>3.5573394298553471</v>
      </c>
      <c r="D323" s="4">
        <f t="shared" ref="D323:D386" si="10">ABS(B323-C323)</f>
        <v>0.44266057014465288</v>
      </c>
      <c r="E323" s="4">
        <f t="shared" ref="E323:E386" si="11">(B323-C323)^2</f>
        <v>0.19594838036078915</v>
      </c>
    </row>
    <row r="324" spans="1:5" x14ac:dyDescent="0.35">
      <c r="A324" t="s">
        <v>327</v>
      </c>
      <c r="B324" s="2">
        <v>3.61</v>
      </c>
      <c r="C324" s="4">
        <v>3.5517933368682861</v>
      </c>
      <c r="D324" s="4">
        <f t="shared" si="10"/>
        <v>5.8206663131713743E-2</v>
      </c>
      <c r="E324" s="4">
        <f t="shared" si="11"/>
        <v>3.3880156329288038E-3</v>
      </c>
    </row>
    <row r="325" spans="1:5" x14ac:dyDescent="0.35">
      <c r="A325" t="s">
        <v>328</v>
      </c>
      <c r="B325" s="2">
        <v>2.06</v>
      </c>
      <c r="C325" s="4">
        <v>3.636127233505249</v>
      </c>
      <c r="D325" s="4">
        <f t="shared" si="10"/>
        <v>1.576127233505249</v>
      </c>
      <c r="E325" s="4">
        <f t="shared" si="11"/>
        <v>2.4841770561969096</v>
      </c>
    </row>
    <row r="326" spans="1:5" x14ac:dyDescent="0.35">
      <c r="A326" t="s">
        <v>329</v>
      </c>
      <c r="B326" s="2">
        <v>1.39</v>
      </c>
      <c r="C326" s="4">
        <v>3.395870447158813</v>
      </c>
      <c r="D326" s="4">
        <f t="shared" si="10"/>
        <v>2.0058704471588129</v>
      </c>
      <c r="E326" s="4">
        <f t="shared" si="11"/>
        <v>4.0235162507850957</v>
      </c>
    </row>
    <row r="327" spans="1:5" x14ac:dyDescent="0.35">
      <c r="A327" t="s">
        <v>330</v>
      </c>
      <c r="B327" s="2">
        <v>4.3</v>
      </c>
      <c r="C327" s="4">
        <v>3.9115362167358398</v>
      </c>
      <c r="D327" s="4">
        <f t="shared" si="10"/>
        <v>0.38846378326415998</v>
      </c>
      <c r="E327" s="4">
        <f t="shared" si="11"/>
        <v>0.15090411090790426</v>
      </c>
    </row>
    <row r="328" spans="1:5" x14ac:dyDescent="0.35">
      <c r="A328" t="s">
        <v>331</v>
      </c>
      <c r="B328" s="2">
        <v>3.14</v>
      </c>
      <c r="C328" s="4">
        <v>3.85676097869873</v>
      </c>
      <c r="D328" s="4">
        <f t="shared" si="10"/>
        <v>0.7167609786987299</v>
      </c>
      <c r="E328" s="4">
        <f t="shared" si="11"/>
        <v>0.51374630058516113</v>
      </c>
    </row>
    <row r="329" spans="1:5" x14ac:dyDescent="0.35">
      <c r="A329" t="s">
        <v>332</v>
      </c>
      <c r="B329" s="2">
        <v>1.74</v>
      </c>
      <c r="C329" s="4">
        <v>3.746679306030273</v>
      </c>
      <c r="D329" s="4">
        <f t="shared" si="10"/>
        <v>2.0066793060302732</v>
      </c>
      <c r="E329" s="4">
        <f t="shared" si="11"/>
        <v>4.026761837250139</v>
      </c>
    </row>
    <row r="330" spans="1:5" x14ac:dyDescent="0.35">
      <c r="A330" t="s">
        <v>333</v>
      </c>
      <c r="B330" s="2">
        <v>1.23</v>
      </c>
      <c r="C330" s="4">
        <v>3.6105561256408691</v>
      </c>
      <c r="D330" s="4">
        <f t="shared" si="10"/>
        <v>2.3805561256408692</v>
      </c>
      <c r="E330" s="4">
        <f t="shared" si="11"/>
        <v>5.6670474673262659</v>
      </c>
    </row>
    <row r="331" spans="1:5" x14ac:dyDescent="0.35">
      <c r="A331" t="s">
        <v>334</v>
      </c>
      <c r="B331" s="2">
        <v>4.2</v>
      </c>
      <c r="C331" s="4">
        <v>3.4602971076965332</v>
      </c>
      <c r="D331" s="4">
        <f t="shared" si="10"/>
        <v>0.73970289230346697</v>
      </c>
      <c r="E331" s="4">
        <f t="shared" si="11"/>
        <v>0.5471603688821145</v>
      </c>
    </row>
    <row r="332" spans="1:5" x14ac:dyDescent="0.35">
      <c r="A332" t="s">
        <v>335</v>
      </c>
      <c r="B332" s="2">
        <v>3.1</v>
      </c>
      <c r="C332" s="4">
        <v>3.33048415184021</v>
      </c>
      <c r="D332" s="4">
        <f t="shared" si="10"/>
        <v>0.23048415184020987</v>
      </c>
      <c r="E332" s="4">
        <f t="shared" si="11"/>
        <v>5.3122944249500918E-2</v>
      </c>
    </row>
    <row r="333" spans="1:5" x14ac:dyDescent="0.35">
      <c r="A333" t="s">
        <v>336</v>
      </c>
      <c r="B333" s="2">
        <v>1.58</v>
      </c>
      <c r="C333" s="4">
        <v>3.1614270210266109</v>
      </c>
      <c r="D333" s="4">
        <f t="shared" si="10"/>
        <v>1.5814270210266108</v>
      </c>
      <c r="E333" s="4">
        <f t="shared" si="11"/>
        <v>2.5009114228331004</v>
      </c>
    </row>
    <row r="334" spans="1:5" x14ac:dyDescent="0.35">
      <c r="A334" t="s">
        <v>337</v>
      </c>
      <c r="B334" s="2">
        <v>1.2</v>
      </c>
      <c r="C334" s="4">
        <v>3.0733635425567631</v>
      </c>
      <c r="D334" s="4">
        <f t="shared" si="10"/>
        <v>1.8733635425567632</v>
      </c>
      <c r="E334" s="4">
        <f t="shared" si="11"/>
        <v>3.5094909625808253</v>
      </c>
    </row>
    <row r="335" spans="1:5" x14ac:dyDescent="0.35">
      <c r="A335" t="s">
        <v>338</v>
      </c>
      <c r="B335" s="2">
        <v>4.63</v>
      </c>
      <c r="C335" s="4">
        <v>3.827881813049316</v>
      </c>
      <c r="D335" s="4">
        <f t="shared" si="10"/>
        <v>0.80211818695068393</v>
      </c>
      <c r="E335" s="4">
        <f t="shared" si="11"/>
        <v>0.64339358583705231</v>
      </c>
    </row>
    <row r="336" spans="1:5" x14ac:dyDescent="0.35">
      <c r="A336" t="s">
        <v>339</v>
      </c>
      <c r="B336" s="2">
        <v>4.26</v>
      </c>
      <c r="C336" s="4">
        <v>3.8241090774536128</v>
      </c>
      <c r="D336" s="4">
        <f t="shared" si="10"/>
        <v>0.43589092254638695</v>
      </c>
      <c r="E336" s="4">
        <f t="shared" si="11"/>
        <v>0.1900008963583403</v>
      </c>
    </row>
    <row r="337" spans="1:5" x14ac:dyDescent="0.35">
      <c r="A337" t="s">
        <v>340</v>
      </c>
      <c r="B337" s="2">
        <v>2.78</v>
      </c>
      <c r="C337" s="4">
        <v>3.6406712532043461</v>
      </c>
      <c r="D337" s="4">
        <f t="shared" si="10"/>
        <v>0.86067125320434634</v>
      </c>
      <c r="E337" s="4">
        <f t="shared" si="11"/>
        <v>0.74075500609234002</v>
      </c>
    </row>
    <row r="338" spans="1:5" x14ac:dyDescent="0.35">
      <c r="A338" t="s">
        <v>341</v>
      </c>
      <c r="B338" s="2">
        <v>1.4</v>
      </c>
      <c r="C338" s="4">
        <v>3.4471971988677979</v>
      </c>
      <c r="D338" s="4">
        <f t="shared" si="10"/>
        <v>2.0471971988677979</v>
      </c>
      <c r="E338" s="4">
        <f t="shared" si="11"/>
        <v>4.1910163710521582</v>
      </c>
    </row>
    <row r="339" spans="1:5" x14ac:dyDescent="0.35">
      <c r="A339" t="s">
        <v>342</v>
      </c>
      <c r="B339" s="2">
        <v>1.1499999999999999</v>
      </c>
      <c r="C339" s="4">
        <v>3.340537309646606</v>
      </c>
      <c r="D339" s="4">
        <f t="shared" si="10"/>
        <v>2.1905373096466061</v>
      </c>
      <c r="E339" s="4">
        <f t="shared" si="11"/>
        <v>4.7984537049537908</v>
      </c>
    </row>
    <row r="340" spans="1:5" x14ac:dyDescent="0.35">
      <c r="A340" t="s">
        <v>343</v>
      </c>
      <c r="B340" s="2">
        <v>4.07</v>
      </c>
      <c r="C340" s="4">
        <v>2.9100079536437988</v>
      </c>
      <c r="D340" s="4">
        <f t="shared" si="10"/>
        <v>1.1599920463562015</v>
      </c>
      <c r="E340" s="4">
        <f t="shared" si="11"/>
        <v>1.3455815476096478</v>
      </c>
    </row>
    <row r="341" spans="1:5" x14ac:dyDescent="0.35">
      <c r="A341" t="s">
        <v>344</v>
      </c>
      <c r="B341" s="2">
        <v>3.62</v>
      </c>
      <c r="C341" s="4">
        <v>3.2566680908203121</v>
      </c>
      <c r="D341" s="4">
        <f t="shared" si="10"/>
        <v>0.36333190917968805</v>
      </c>
      <c r="E341" s="4">
        <f t="shared" si="11"/>
        <v>0.13201007622815708</v>
      </c>
    </row>
    <row r="342" spans="1:5" x14ac:dyDescent="0.35">
      <c r="A342" t="s">
        <v>345</v>
      </c>
      <c r="B342" s="2">
        <v>1.38</v>
      </c>
      <c r="C342" s="4">
        <v>3.246139287948608</v>
      </c>
      <c r="D342" s="4">
        <f t="shared" si="10"/>
        <v>1.8661392879486081</v>
      </c>
      <c r="E342" s="4">
        <f t="shared" si="11"/>
        <v>3.4824758420253379</v>
      </c>
    </row>
    <row r="343" spans="1:5" x14ac:dyDescent="0.35">
      <c r="A343" t="s">
        <v>346</v>
      </c>
      <c r="B343" s="2">
        <v>4.26</v>
      </c>
      <c r="C343" s="4">
        <v>3.5302529335021968</v>
      </c>
      <c r="D343" s="4">
        <f t="shared" si="10"/>
        <v>0.72974706649780297</v>
      </c>
      <c r="E343" s="4">
        <f t="shared" si="11"/>
        <v>0.53253078106214891</v>
      </c>
    </row>
    <row r="344" spans="1:5" x14ac:dyDescent="0.35">
      <c r="A344" t="s">
        <v>347</v>
      </c>
      <c r="B344" s="2">
        <v>3.03</v>
      </c>
      <c r="C344" s="4">
        <v>3.6441366672515869</v>
      </c>
      <c r="D344" s="4">
        <f t="shared" si="10"/>
        <v>0.61413666725158711</v>
      </c>
      <c r="E344" s="4">
        <f t="shared" si="11"/>
        <v>0.37716384606288661</v>
      </c>
    </row>
    <row r="345" spans="1:5" x14ac:dyDescent="0.35">
      <c r="A345" t="s">
        <v>348</v>
      </c>
      <c r="B345" s="2">
        <v>1.35</v>
      </c>
      <c r="C345" s="4">
        <v>3.5103671550750728</v>
      </c>
      <c r="D345" s="4">
        <f t="shared" si="10"/>
        <v>2.1603671550750727</v>
      </c>
      <c r="E345" s="4">
        <f t="shared" si="11"/>
        <v>4.667186244727163</v>
      </c>
    </row>
    <row r="346" spans="1:5" x14ac:dyDescent="0.35">
      <c r="A346" t="s">
        <v>349</v>
      </c>
      <c r="B346" s="2">
        <v>4.12</v>
      </c>
      <c r="C346" s="4">
        <v>3.4429059028625488</v>
      </c>
      <c r="D346" s="4">
        <f t="shared" si="10"/>
        <v>0.67709409713745128</v>
      </c>
      <c r="E346" s="4">
        <f t="shared" si="11"/>
        <v>0.4584564163783803</v>
      </c>
    </row>
    <row r="347" spans="1:5" x14ac:dyDescent="0.35">
      <c r="A347" t="s">
        <v>350</v>
      </c>
      <c r="B347" s="2">
        <v>3.62</v>
      </c>
      <c r="C347" s="4">
        <v>3.5388197898864751</v>
      </c>
      <c r="D347" s="4">
        <f t="shared" si="10"/>
        <v>8.1180210113525053E-2</v>
      </c>
      <c r="E347" s="4">
        <f t="shared" si="11"/>
        <v>6.5902265140760754E-3</v>
      </c>
    </row>
    <row r="348" spans="1:5" x14ac:dyDescent="0.35">
      <c r="A348" t="s">
        <v>351</v>
      </c>
      <c r="B348" s="2">
        <v>2.0099999999999998</v>
      </c>
      <c r="C348" s="4">
        <v>3.482471227645874</v>
      </c>
      <c r="D348" s="4">
        <f t="shared" si="10"/>
        <v>1.4724712276458742</v>
      </c>
      <c r="E348" s="4">
        <f t="shared" si="11"/>
        <v>2.1681715162449482</v>
      </c>
    </row>
    <row r="349" spans="1:5" x14ac:dyDescent="0.35">
      <c r="A349" t="s">
        <v>352</v>
      </c>
      <c r="B349" s="2">
        <v>1.41</v>
      </c>
      <c r="C349" s="4">
        <v>3.5708456039428711</v>
      </c>
      <c r="D349" s="4">
        <f t="shared" si="10"/>
        <v>2.160845603942871</v>
      </c>
      <c r="E349" s="4">
        <f t="shared" si="11"/>
        <v>4.6692537240792307</v>
      </c>
    </row>
    <row r="350" spans="1:5" x14ac:dyDescent="0.35">
      <c r="A350" t="s">
        <v>353</v>
      </c>
      <c r="B350" s="2">
        <v>4.29</v>
      </c>
      <c r="C350" s="4">
        <v>3.8989593982696529</v>
      </c>
      <c r="D350" s="4">
        <f t="shared" si="10"/>
        <v>0.39104060173034716</v>
      </c>
      <c r="E350" s="4">
        <f t="shared" si="11"/>
        <v>0.15291275220163197</v>
      </c>
    </row>
    <row r="351" spans="1:5" x14ac:dyDescent="0.35">
      <c r="A351" t="s">
        <v>354</v>
      </c>
      <c r="B351" s="2">
        <v>3.44</v>
      </c>
      <c r="C351" s="4">
        <v>3.8426792621612549</v>
      </c>
      <c r="D351" s="4">
        <f t="shared" si="10"/>
        <v>0.40267926216125494</v>
      </c>
      <c r="E351" s="4">
        <f t="shared" si="11"/>
        <v>0.16215058817473268</v>
      </c>
    </row>
    <row r="352" spans="1:5" x14ac:dyDescent="0.35">
      <c r="A352" t="s">
        <v>355</v>
      </c>
      <c r="B352" s="2">
        <v>1.61</v>
      </c>
      <c r="C352" s="4">
        <v>3.7975871562957759</v>
      </c>
      <c r="D352" s="4">
        <f t="shared" si="10"/>
        <v>2.187587156295776</v>
      </c>
      <c r="E352" s="4">
        <f t="shared" si="11"/>
        <v>4.7855375663902402</v>
      </c>
    </row>
    <row r="353" spans="1:5" x14ac:dyDescent="0.35">
      <c r="A353" t="s">
        <v>356</v>
      </c>
      <c r="B353" s="2">
        <v>1.25</v>
      </c>
      <c r="C353" s="4">
        <v>3.6918497085571289</v>
      </c>
      <c r="D353" s="4">
        <f t="shared" si="10"/>
        <v>2.4418497085571289</v>
      </c>
      <c r="E353" s="4">
        <f t="shared" si="11"/>
        <v>5.9626299991805354</v>
      </c>
    </row>
    <row r="354" spans="1:5" x14ac:dyDescent="0.35">
      <c r="A354" t="s">
        <v>357</v>
      </c>
      <c r="B354" s="2">
        <v>3.88</v>
      </c>
      <c r="C354" s="4">
        <v>3.505567312240601</v>
      </c>
      <c r="D354" s="4">
        <f t="shared" si="10"/>
        <v>0.37443268775939886</v>
      </c>
      <c r="E354" s="4">
        <f t="shared" si="11"/>
        <v>0.14019983766272748</v>
      </c>
    </row>
    <row r="355" spans="1:5" x14ac:dyDescent="0.35">
      <c r="A355" t="s">
        <v>358</v>
      </c>
      <c r="B355" s="2">
        <v>3.32</v>
      </c>
      <c r="C355" s="4">
        <v>3.5188841819763179</v>
      </c>
      <c r="D355" s="4">
        <f t="shared" si="10"/>
        <v>0.19888418197631808</v>
      </c>
      <c r="E355" s="4">
        <f t="shared" si="11"/>
        <v>3.9554917840389205E-2</v>
      </c>
    </row>
    <row r="356" spans="1:5" x14ac:dyDescent="0.35">
      <c r="A356" t="s">
        <v>359</v>
      </c>
      <c r="B356" s="2">
        <v>1.97</v>
      </c>
      <c r="C356" s="4">
        <v>3.416894674301147</v>
      </c>
      <c r="D356" s="4">
        <f t="shared" si="10"/>
        <v>1.446894674301147</v>
      </c>
      <c r="E356" s="4">
        <f t="shared" si="11"/>
        <v>2.0935041985210225</v>
      </c>
    </row>
    <row r="357" spans="1:5" x14ac:dyDescent="0.35">
      <c r="A357" t="s">
        <v>360</v>
      </c>
      <c r="B357" s="2">
        <v>1.4</v>
      </c>
      <c r="C357" s="4">
        <v>3.3570184707641602</v>
      </c>
      <c r="D357" s="4">
        <f t="shared" si="10"/>
        <v>1.9570184707641602</v>
      </c>
      <c r="E357" s="4">
        <f t="shared" si="11"/>
        <v>3.8299212949120922</v>
      </c>
    </row>
    <row r="358" spans="1:5" x14ac:dyDescent="0.35">
      <c r="A358" t="s">
        <v>361</v>
      </c>
      <c r="B358" s="2">
        <v>3.81</v>
      </c>
      <c r="C358" s="4">
        <v>3.8328323364257808</v>
      </c>
      <c r="D358" s="4">
        <f t="shared" si="10"/>
        <v>2.2832336425780753E-2</v>
      </c>
      <c r="E358" s="4">
        <f t="shared" si="11"/>
        <v>5.2131558666003463E-4</v>
      </c>
    </row>
    <row r="359" spans="1:5" x14ac:dyDescent="0.35">
      <c r="A359" t="s">
        <v>362</v>
      </c>
      <c r="B359" s="2">
        <v>2.52</v>
      </c>
      <c r="C359" s="4">
        <v>3.7345540523529048</v>
      </c>
      <c r="D359" s="4">
        <f t="shared" si="10"/>
        <v>1.2145540523529048</v>
      </c>
      <c r="E359" s="4">
        <f t="shared" si="11"/>
        <v>1.4751415460868627</v>
      </c>
    </row>
    <row r="360" spans="1:5" x14ac:dyDescent="0.35">
      <c r="A360" t="s">
        <v>363</v>
      </c>
      <c r="B360" s="2">
        <v>1.26</v>
      </c>
      <c r="C360" s="4">
        <v>3.6537849903106689</v>
      </c>
      <c r="D360" s="4">
        <f t="shared" si="10"/>
        <v>2.3937849903106692</v>
      </c>
      <c r="E360" s="4">
        <f t="shared" si="11"/>
        <v>5.7302065798366506</v>
      </c>
    </row>
    <row r="361" spans="1:5" x14ac:dyDescent="0.35">
      <c r="A361" t="s">
        <v>364</v>
      </c>
      <c r="B361" s="2">
        <v>3.87</v>
      </c>
      <c r="C361" s="4">
        <v>3.5090100765228271</v>
      </c>
      <c r="D361" s="4">
        <f t="shared" si="10"/>
        <v>0.36098992347717296</v>
      </c>
      <c r="E361" s="4">
        <f t="shared" si="11"/>
        <v>0.1303137248520552</v>
      </c>
    </row>
    <row r="362" spans="1:5" x14ac:dyDescent="0.35">
      <c r="A362" t="s">
        <v>365</v>
      </c>
      <c r="B362" s="2">
        <v>2.99</v>
      </c>
      <c r="C362" s="4">
        <v>3.3371834754943852</v>
      </c>
      <c r="D362" s="4">
        <f t="shared" si="10"/>
        <v>0.347183475494385</v>
      </c>
      <c r="E362" s="4">
        <f t="shared" si="11"/>
        <v>0.12053636565636022</v>
      </c>
    </row>
    <row r="363" spans="1:5" x14ac:dyDescent="0.35">
      <c r="A363" t="s">
        <v>366</v>
      </c>
      <c r="B363" s="2">
        <v>2.0299999999999998</v>
      </c>
      <c r="C363" s="4">
        <v>3.2345788478851318</v>
      </c>
      <c r="D363" s="4">
        <f t="shared" si="10"/>
        <v>1.204578847885132</v>
      </c>
      <c r="E363" s="4">
        <f t="shared" si="11"/>
        <v>1.4510102007722721</v>
      </c>
    </row>
    <row r="364" spans="1:5" x14ac:dyDescent="0.35">
      <c r="A364" t="s">
        <v>367</v>
      </c>
      <c r="B364" s="2">
        <v>1.29</v>
      </c>
      <c r="C364" s="4">
        <v>3.1914057731628418</v>
      </c>
      <c r="D364" s="4">
        <f t="shared" si="10"/>
        <v>1.9014057731628418</v>
      </c>
      <c r="E364" s="4">
        <f t="shared" si="11"/>
        <v>3.6153439142169841</v>
      </c>
    </row>
    <row r="365" spans="1:5" x14ac:dyDescent="0.35">
      <c r="A365" t="s">
        <v>368</v>
      </c>
      <c r="B365" s="2">
        <v>4.32</v>
      </c>
      <c r="C365" s="4">
        <v>3.833511590957642</v>
      </c>
      <c r="D365" s="4">
        <f t="shared" si="10"/>
        <v>0.48648840904235824</v>
      </c>
      <c r="E365" s="4">
        <f t="shared" si="11"/>
        <v>0.23667097213256486</v>
      </c>
    </row>
    <row r="366" spans="1:5" x14ac:dyDescent="0.35">
      <c r="A366" t="s">
        <v>369</v>
      </c>
      <c r="B366" s="2">
        <v>4.24</v>
      </c>
      <c r="C366" s="4">
        <v>3.6605377197265621</v>
      </c>
      <c r="D366" s="4">
        <f t="shared" si="10"/>
        <v>0.57946228027343816</v>
      </c>
      <c r="E366" s="4">
        <f t="shared" si="11"/>
        <v>0.33577653425969262</v>
      </c>
    </row>
    <row r="367" spans="1:5" x14ac:dyDescent="0.35">
      <c r="A367" t="s">
        <v>370</v>
      </c>
      <c r="B367" s="2">
        <v>2.88</v>
      </c>
      <c r="C367" s="4">
        <v>3.5315687656402588</v>
      </c>
      <c r="D367" s="4">
        <f t="shared" si="10"/>
        <v>0.6515687656402589</v>
      </c>
      <c r="E367" s="4">
        <f t="shared" si="11"/>
        <v>0.42454185635797065</v>
      </c>
    </row>
    <row r="368" spans="1:5" x14ac:dyDescent="0.35">
      <c r="A368" t="s">
        <v>371</v>
      </c>
      <c r="B368" s="2">
        <v>1.52</v>
      </c>
      <c r="C368" s="4">
        <v>3.4777567386627202</v>
      </c>
      <c r="D368" s="4">
        <f t="shared" si="10"/>
        <v>1.9577567386627202</v>
      </c>
      <c r="E368" s="4">
        <f t="shared" si="11"/>
        <v>3.8328114477792905</v>
      </c>
    </row>
    <row r="369" spans="1:5" x14ac:dyDescent="0.35">
      <c r="A369" t="s">
        <v>372</v>
      </c>
      <c r="B369" s="2">
        <v>1.17</v>
      </c>
      <c r="C369" s="4">
        <v>3.4838330745697021</v>
      </c>
      <c r="D369" s="4">
        <f t="shared" si="10"/>
        <v>2.3138330745697022</v>
      </c>
      <c r="E369" s="4">
        <f t="shared" si="11"/>
        <v>5.353823496972681</v>
      </c>
    </row>
    <row r="370" spans="1:5" x14ac:dyDescent="0.35">
      <c r="A370" t="s">
        <v>373</v>
      </c>
      <c r="B370" s="2">
        <v>2.96</v>
      </c>
      <c r="C370" s="4">
        <v>3.2483129501342769</v>
      </c>
      <c r="D370" s="4">
        <f t="shared" si="10"/>
        <v>0.28831295013427694</v>
      </c>
      <c r="E370" s="4">
        <f t="shared" si="11"/>
        <v>8.3124357215130062E-2</v>
      </c>
    </row>
    <row r="371" spans="1:5" x14ac:dyDescent="0.35">
      <c r="A371" t="s">
        <v>374</v>
      </c>
      <c r="B371" s="2">
        <v>2.57</v>
      </c>
      <c r="C371" s="4">
        <v>3.2722396850585942</v>
      </c>
      <c r="D371" s="4">
        <f t="shared" si="10"/>
        <v>0.70223968505859435</v>
      </c>
      <c r="E371" s="4">
        <f t="shared" si="11"/>
        <v>0.49314057527119376</v>
      </c>
    </row>
    <row r="372" spans="1:5" x14ac:dyDescent="0.35">
      <c r="A372" t="s">
        <v>375</v>
      </c>
      <c r="B372" s="2">
        <v>1.42</v>
      </c>
      <c r="C372" s="4">
        <v>3.2919492721557622</v>
      </c>
      <c r="D372" s="4">
        <f t="shared" si="10"/>
        <v>1.8719492721557622</v>
      </c>
      <c r="E372" s="4">
        <f t="shared" si="11"/>
        <v>3.5041940775244882</v>
      </c>
    </row>
    <row r="373" spans="1:5" x14ac:dyDescent="0.35">
      <c r="A373" t="s">
        <v>376</v>
      </c>
      <c r="B373" s="2">
        <v>3.41</v>
      </c>
      <c r="C373" s="4">
        <v>3.6319277286529541</v>
      </c>
      <c r="D373" s="4">
        <f t="shared" si="10"/>
        <v>0.22192772865295396</v>
      </c>
      <c r="E373" s="4">
        <f t="shared" si="11"/>
        <v>4.925191674505916E-2</v>
      </c>
    </row>
    <row r="374" spans="1:5" x14ac:dyDescent="0.35">
      <c r="A374" t="s">
        <v>377</v>
      </c>
      <c r="B374" s="2">
        <v>2.5499999999999998</v>
      </c>
      <c r="C374" s="4">
        <v>3.636272668838501</v>
      </c>
      <c r="D374" s="4">
        <f t="shared" si="10"/>
        <v>1.0862726688385012</v>
      </c>
      <c r="E374" s="4">
        <f t="shared" si="11"/>
        <v>1.17998831106552</v>
      </c>
    </row>
    <row r="375" spans="1:5" x14ac:dyDescent="0.35">
      <c r="A375" t="s">
        <v>378</v>
      </c>
      <c r="B375" s="2">
        <v>1.22</v>
      </c>
      <c r="C375" s="4">
        <v>3.4883654117584229</v>
      </c>
      <c r="D375" s="4">
        <f t="shared" si="10"/>
        <v>2.2683654117584231</v>
      </c>
      <c r="E375" s="4">
        <f t="shared" si="11"/>
        <v>5.1454816412619602</v>
      </c>
    </row>
    <row r="376" spans="1:5" x14ac:dyDescent="0.35">
      <c r="A376" t="s">
        <v>379</v>
      </c>
      <c r="B376" s="2">
        <v>3.64</v>
      </c>
      <c r="C376" s="4">
        <v>3.487363338470459</v>
      </c>
      <c r="D376" s="4">
        <f t="shared" si="10"/>
        <v>0.15263666152954114</v>
      </c>
      <c r="E376" s="4">
        <f t="shared" si="11"/>
        <v>2.3297950442883703E-2</v>
      </c>
    </row>
    <row r="377" spans="1:5" x14ac:dyDescent="0.35">
      <c r="A377" t="s">
        <v>380</v>
      </c>
      <c r="B377" s="2">
        <v>3.02</v>
      </c>
      <c r="C377" s="4">
        <v>3.5033423900604248</v>
      </c>
      <c r="D377" s="4">
        <f t="shared" si="10"/>
        <v>0.48334239006042479</v>
      </c>
      <c r="E377" s="4">
        <f t="shared" si="11"/>
        <v>0.23361986602932383</v>
      </c>
    </row>
    <row r="378" spans="1:5" x14ac:dyDescent="0.35">
      <c r="A378" t="s">
        <v>381</v>
      </c>
      <c r="B378" s="2">
        <v>1.9</v>
      </c>
      <c r="C378" s="4">
        <v>3.4947385787963872</v>
      </c>
      <c r="D378" s="4">
        <f t="shared" si="10"/>
        <v>1.5947385787963873</v>
      </c>
      <c r="E378" s="4">
        <f t="shared" si="11"/>
        <v>2.5431911347015212</v>
      </c>
    </row>
    <row r="379" spans="1:5" x14ac:dyDescent="0.35">
      <c r="A379" t="s">
        <v>382</v>
      </c>
      <c r="B379" s="2">
        <v>1.44</v>
      </c>
      <c r="C379" s="4">
        <v>3.3923733234405522</v>
      </c>
      <c r="D379" s="4">
        <f t="shared" si="10"/>
        <v>1.9523733234405523</v>
      </c>
      <c r="E379" s="4">
        <f t="shared" si="11"/>
        <v>3.8117615940823071</v>
      </c>
    </row>
    <row r="380" spans="1:5" x14ac:dyDescent="0.35">
      <c r="A380" t="s">
        <v>383</v>
      </c>
      <c r="B380" s="2">
        <v>3.64</v>
      </c>
      <c r="C380" s="4">
        <v>3.819275856018066</v>
      </c>
      <c r="D380" s="4">
        <f t="shared" si="10"/>
        <v>0.17927585601806584</v>
      </c>
      <c r="E380" s="4">
        <f t="shared" si="11"/>
        <v>3.2139832551010272E-2</v>
      </c>
    </row>
    <row r="381" spans="1:5" x14ac:dyDescent="0.35">
      <c r="A381" t="s">
        <v>384</v>
      </c>
      <c r="B381" s="2">
        <v>2.46</v>
      </c>
      <c r="C381" s="4">
        <v>3.7706680297851558</v>
      </c>
      <c r="D381" s="4">
        <f t="shared" si="10"/>
        <v>1.3106680297851558</v>
      </c>
      <c r="E381" s="4">
        <f t="shared" si="11"/>
        <v>1.7178506843009023</v>
      </c>
    </row>
    <row r="382" spans="1:5" x14ac:dyDescent="0.35">
      <c r="A382" t="s">
        <v>385</v>
      </c>
      <c r="B382" s="2">
        <v>1.42</v>
      </c>
      <c r="C382" s="4">
        <v>3.6862952709197998</v>
      </c>
      <c r="D382" s="4">
        <f t="shared" si="10"/>
        <v>2.2662952709197999</v>
      </c>
      <c r="E382" s="4">
        <f t="shared" si="11"/>
        <v>5.1360942549934494</v>
      </c>
    </row>
    <row r="383" spans="1:5" x14ac:dyDescent="0.35">
      <c r="A383" t="s">
        <v>386</v>
      </c>
      <c r="B383" s="2">
        <v>1.3</v>
      </c>
      <c r="C383" s="4">
        <v>3.729732751846313</v>
      </c>
      <c r="D383" s="4">
        <f t="shared" si="10"/>
        <v>2.4297327518463128</v>
      </c>
      <c r="E383" s="4">
        <f t="shared" si="11"/>
        <v>5.9036012453946558</v>
      </c>
    </row>
    <row r="384" spans="1:5" x14ac:dyDescent="0.35">
      <c r="A384" t="s">
        <v>387</v>
      </c>
      <c r="B384" s="2">
        <v>3.97</v>
      </c>
      <c r="C384" s="4">
        <v>3.5333187580108638</v>
      </c>
      <c r="D384" s="4">
        <f t="shared" si="10"/>
        <v>0.43668124198913638</v>
      </c>
      <c r="E384" s="4">
        <f t="shared" si="11"/>
        <v>0.19069050710517468</v>
      </c>
    </row>
    <row r="385" spans="1:5" x14ac:dyDescent="0.35">
      <c r="A385" t="s">
        <v>388</v>
      </c>
      <c r="B385" s="2">
        <v>3.14</v>
      </c>
      <c r="C385" s="4">
        <v>3.5451629161834721</v>
      </c>
      <c r="D385" s="4">
        <f t="shared" si="10"/>
        <v>0.405162916183472</v>
      </c>
      <c r="E385" s="4">
        <f t="shared" si="11"/>
        <v>0.16415698865029515</v>
      </c>
    </row>
    <row r="386" spans="1:5" x14ac:dyDescent="0.35">
      <c r="A386" t="s">
        <v>389</v>
      </c>
      <c r="B386" s="2">
        <v>2.77</v>
      </c>
      <c r="C386" s="4">
        <v>3.4847695827484131</v>
      </c>
      <c r="D386" s="4">
        <f t="shared" si="10"/>
        <v>0.71476958274841307</v>
      </c>
      <c r="E386" s="4">
        <f t="shared" si="11"/>
        <v>0.51089555642234052</v>
      </c>
    </row>
    <row r="387" spans="1:5" x14ac:dyDescent="0.35">
      <c r="A387" t="s">
        <v>390</v>
      </c>
      <c r="B387" s="2">
        <v>1.58</v>
      </c>
      <c r="C387" s="4">
        <v>3.43767237663269</v>
      </c>
      <c r="D387" s="4">
        <f t="shared" ref="D387:D438" si="12">ABS(B387-C387)</f>
        <v>1.8576723766326899</v>
      </c>
      <c r="E387" s="4">
        <f t="shared" ref="E387:E438" si="13">(B387-C387)^2</f>
        <v>3.4509466589041464</v>
      </c>
    </row>
    <row r="388" spans="1:5" x14ac:dyDescent="0.35">
      <c r="A388" t="s">
        <v>391</v>
      </c>
      <c r="B388" s="2">
        <v>4.34</v>
      </c>
      <c r="C388" s="4">
        <v>3.840190172195435</v>
      </c>
      <c r="D388" s="4">
        <f t="shared" si="12"/>
        <v>0.49980982780456484</v>
      </c>
      <c r="E388" s="4">
        <f t="shared" si="13"/>
        <v>0.24980986397002877</v>
      </c>
    </row>
    <row r="389" spans="1:5" x14ac:dyDescent="0.35">
      <c r="A389" t="s">
        <v>392</v>
      </c>
      <c r="B389" s="2">
        <v>3.79</v>
      </c>
      <c r="C389" s="4">
        <v>3.946555376052856</v>
      </c>
      <c r="D389" s="4">
        <f t="shared" si="12"/>
        <v>0.15655537605285597</v>
      </c>
      <c r="E389" s="4">
        <f t="shared" si="13"/>
        <v>2.4509585771051147E-2</v>
      </c>
    </row>
    <row r="390" spans="1:5" x14ac:dyDescent="0.35">
      <c r="A390" t="s">
        <v>393</v>
      </c>
      <c r="B390" s="2">
        <v>2.19</v>
      </c>
      <c r="C390" s="4">
        <v>3.7671997547149658</v>
      </c>
      <c r="D390" s="4">
        <f t="shared" si="12"/>
        <v>1.5771997547149659</v>
      </c>
      <c r="E390" s="4">
        <f t="shared" si="13"/>
        <v>2.4875590662729485</v>
      </c>
    </row>
    <row r="391" spans="1:5" x14ac:dyDescent="0.35">
      <c r="A391" t="s">
        <v>394</v>
      </c>
      <c r="B391" s="2">
        <v>1.47</v>
      </c>
      <c r="C391" s="4">
        <v>3.7106442451477051</v>
      </c>
      <c r="D391" s="4">
        <f t="shared" si="12"/>
        <v>2.2406442451477053</v>
      </c>
      <c r="E391" s="4">
        <f t="shared" si="13"/>
        <v>5.0204866333135305</v>
      </c>
    </row>
    <row r="392" spans="1:5" x14ac:dyDescent="0.35">
      <c r="A392" t="s">
        <v>395</v>
      </c>
      <c r="B392" s="2">
        <v>4.01</v>
      </c>
      <c r="C392" s="4">
        <v>3.5712766647338872</v>
      </c>
      <c r="D392" s="4">
        <f t="shared" si="12"/>
        <v>0.43872333526611262</v>
      </c>
      <c r="E392" s="4">
        <f t="shared" si="13"/>
        <v>0.19247816490702185</v>
      </c>
    </row>
    <row r="393" spans="1:5" x14ac:dyDescent="0.35">
      <c r="A393" t="s">
        <v>396</v>
      </c>
      <c r="B393" s="2">
        <v>3.46</v>
      </c>
      <c r="C393" s="4">
        <v>3.3882930278778081</v>
      </c>
      <c r="D393" s="4">
        <f t="shared" si="12"/>
        <v>7.1706972122191903E-2</v>
      </c>
      <c r="E393" s="4">
        <f t="shared" si="13"/>
        <v>5.141889850932807E-3</v>
      </c>
    </row>
    <row r="394" spans="1:5" x14ac:dyDescent="0.35">
      <c r="A394" t="s">
        <v>397</v>
      </c>
      <c r="B394" s="2">
        <v>1.71</v>
      </c>
      <c r="C394" s="4">
        <v>3.2802872657775879</v>
      </c>
      <c r="D394" s="4">
        <f t="shared" si="12"/>
        <v>1.5702872657775879</v>
      </c>
      <c r="E394" s="4">
        <f t="shared" si="13"/>
        <v>2.465802097063253</v>
      </c>
    </row>
    <row r="395" spans="1:5" x14ac:dyDescent="0.35">
      <c r="A395" t="s">
        <v>398</v>
      </c>
      <c r="B395" s="2">
        <v>4.55</v>
      </c>
      <c r="C395" s="4">
        <v>3.7293269634246831</v>
      </c>
      <c r="D395" s="4">
        <f t="shared" si="12"/>
        <v>0.82067303657531676</v>
      </c>
      <c r="E395" s="4">
        <f t="shared" si="13"/>
        <v>0.67350423296175121</v>
      </c>
    </row>
    <row r="396" spans="1:5" x14ac:dyDescent="0.35">
      <c r="A396" t="s">
        <v>399</v>
      </c>
      <c r="B396" s="2">
        <v>4.2300000000000004</v>
      </c>
      <c r="C396" s="4">
        <v>3.6956038475036621</v>
      </c>
      <c r="D396" s="4">
        <f t="shared" si="12"/>
        <v>0.53439615249633832</v>
      </c>
      <c r="E396" s="4">
        <f t="shared" si="13"/>
        <v>0.28557924780288968</v>
      </c>
    </row>
    <row r="397" spans="1:5" x14ac:dyDescent="0.35">
      <c r="A397" t="s">
        <v>400</v>
      </c>
      <c r="B397" s="2">
        <v>3.32</v>
      </c>
      <c r="C397" s="4">
        <v>3.603050708770752</v>
      </c>
      <c r="D397" s="4">
        <f t="shared" si="12"/>
        <v>0.28305070877075211</v>
      </c>
      <c r="E397" s="4">
        <f t="shared" si="13"/>
        <v>8.0117703735625129E-2</v>
      </c>
    </row>
    <row r="398" spans="1:5" x14ac:dyDescent="0.35">
      <c r="A398" t="s">
        <v>401</v>
      </c>
      <c r="B398" s="2">
        <v>1.69</v>
      </c>
      <c r="C398" s="4">
        <v>3.5432813167572021</v>
      </c>
      <c r="D398" s="4">
        <f t="shared" si="12"/>
        <v>1.8532813167572022</v>
      </c>
      <c r="E398" s="4">
        <f t="shared" si="13"/>
        <v>3.4346516390413093</v>
      </c>
    </row>
    <row r="399" spans="1:5" x14ac:dyDescent="0.35">
      <c r="A399" t="s">
        <v>402</v>
      </c>
      <c r="B399" s="2">
        <v>1.31</v>
      </c>
      <c r="C399" s="4">
        <v>3.5641565322875981</v>
      </c>
      <c r="D399" s="4">
        <f t="shared" si="12"/>
        <v>2.254156532287598</v>
      </c>
      <c r="E399" s="4">
        <f t="shared" si="13"/>
        <v>5.0812216720548493</v>
      </c>
    </row>
    <row r="400" spans="1:5" x14ac:dyDescent="0.35">
      <c r="A400" t="s">
        <v>403</v>
      </c>
      <c r="B400" s="2">
        <v>2.76</v>
      </c>
      <c r="C400" s="4">
        <v>3.2935516834259029</v>
      </c>
      <c r="D400" s="4">
        <f t="shared" si="12"/>
        <v>0.53355168342590309</v>
      </c>
      <c r="E400" s="4">
        <f t="shared" si="13"/>
        <v>0.28467739888661509</v>
      </c>
    </row>
    <row r="401" spans="1:5" x14ac:dyDescent="0.35">
      <c r="A401" t="s">
        <v>404</v>
      </c>
      <c r="B401" s="2">
        <v>2.31</v>
      </c>
      <c r="C401" s="4">
        <v>3.3057389259338379</v>
      </c>
      <c r="D401" s="4">
        <f t="shared" si="12"/>
        <v>0.99573892593383784</v>
      </c>
      <c r="E401" s="4">
        <f t="shared" si="13"/>
        <v>0.99149600861987297</v>
      </c>
    </row>
    <row r="402" spans="1:5" x14ac:dyDescent="0.35">
      <c r="A402" t="s">
        <v>405</v>
      </c>
      <c r="B402" s="2">
        <v>1.75</v>
      </c>
      <c r="C402" s="4">
        <v>3.3423571586608891</v>
      </c>
      <c r="D402" s="4">
        <f t="shared" si="12"/>
        <v>1.5923571586608891</v>
      </c>
      <c r="E402" s="4">
        <f t="shared" si="13"/>
        <v>2.5356013207385799</v>
      </c>
    </row>
    <row r="403" spans="1:5" x14ac:dyDescent="0.35">
      <c r="A403" t="s">
        <v>406</v>
      </c>
      <c r="B403" s="2">
        <v>2.85</v>
      </c>
      <c r="C403" s="4">
        <v>3.5943694114685059</v>
      </c>
      <c r="D403" s="4">
        <f t="shared" si="12"/>
        <v>0.74436941146850577</v>
      </c>
      <c r="E403" s="4">
        <f t="shared" si="13"/>
        <v>0.5540858207299697</v>
      </c>
    </row>
    <row r="404" spans="1:5" x14ac:dyDescent="0.35">
      <c r="A404" t="s">
        <v>407</v>
      </c>
      <c r="B404" s="2">
        <v>2.14</v>
      </c>
      <c r="C404" s="4">
        <v>3.596161842346191</v>
      </c>
      <c r="D404" s="4">
        <f t="shared" si="12"/>
        <v>1.4561618423461908</v>
      </c>
      <c r="E404" s="4">
        <f t="shared" si="13"/>
        <v>2.1204073111050525</v>
      </c>
    </row>
    <row r="405" spans="1:5" x14ac:dyDescent="0.35">
      <c r="A405" t="s">
        <v>408</v>
      </c>
      <c r="B405" s="2">
        <v>1.5</v>
      </c>
      <c r="C405" s="4">
        <v>3.7051315307617192</v>
      </c>
      <c r="D405" s="4">
        <f t="shared" si="12"/>
        <v>2.2051315307617192</v>
      </c>
      <c r="E405" s="4">
        <f t="shared" si="13"/>
        <v>4.8626050679595227</v>
      </c>
    </row>
    <row r="406" spans="1:5" x14ac:dyDescent="0.35">
      <c r="A406" t="s">
        <v>409</v>
      </c>
      <c r="B406" s="2">
        <v>3.46</v>
      </c>
      <c r="C406" s="4">
        <v>3.5629985332489009</v>
      </c>
      <c r="D406" s="4">
        <f t="shared" si="12"/>
        <v>0.10299853324890096</v>
      </c>
      <c r="E406" s="4">
        <f t="shared" si="13"/>
        <v>1.0608697851424957E-2</v>
      </c>
    </row>
    <row r="407" spans="1:5" x14ac:dyDescent="0.35">
      <c r="A407" t="s">
        <v>410</v>
      </c>
      <c r="B407" s="2">
        <v>3.22</v>
      </c>
      <c r="C407" s="4">
        <v>3.5379705429077148</v>
      </c>
      <c r="D407" s="4">
        <f t="shared" si="12"/>
        <v>0.31797054290771465</v>
      </c>
      <c r="E407" s="4">
        <f t="shared" si="13"/>
        <v>0.10110526615702681</v>
      </c>
    </row>
    <row r="408" spans="1:5" x14ac:dyDescent="0.35">
      <c r="A408" t="s">
        <v>411</v>
      </c>
      <c r="B408" s="2">
        <v>1.81</v>
      </c>
      <c r="C408" s="4">
        <v>3.4538331031799321</v>
      </c>
      <c r="D408" s="4">
        <f t="shared" si="12"/>
        <v>1.643833103179932</v>
      </c>
      <c r="E408" s="4">
        <f t="shared" si="13"/>
        <v>2.7021872711101649</v>
      </c>
    </row>
    <row r="409" spans="1:5" x14ac:dyDescent="0.35">
      <c r="A409" t="s">
        <v>412</v>
      </c>
      <c r="B409" s="2">
        <v>3.6</v>
      </c>
      <c r="C409" s="4">
        <v>3.7682757377624512</v>
      </c>
      <c r="D409" s="4">
        <f t="shared" si="12"/>
        <v>0.16827573776245108</v>
      </c>
      <c r="E409" s="4">
        <f t="shared" si="13"/>
        <v>2.8316723919497206E-2</v>
      </c>
    </row>
    <row r="410" spans="1:5" x14ac:dyDescent="0.35">
      <c r="A410" t="s">
        <v>413</v>
      </c>
      <c r="B410" s="2">
        <v>2.71</v>
      </c>
      <c r="C410" s="4">
        <v>3.7878673076629639</v>
      </c>
      <c r="D410" s="4">
        <f t="shared" si="12"/>
        <v>1.0778673076629639</v>
      </c>
      <c r="E410" s="4">
        <f t="shared" si="13"/>
        <v>1.1617979329286066</v>
      </c>
    </row>
    <row r="411" spans="1:5" x14ac:dyDescent="0.35">
      <c r="A411" t="s">
        <v>414</v>
      </c>
      <c r="B411" s="2">
        <v>1.62</v>
      </c>
      <c r="C411" s="4">
        <v>3.717293262481689</v>
      </c>
      <c r="D411" s="4">
        <f t="shared" si="12"/>
        <v>2.0972932624816889</v>
      </c>
      <c r="E411" s="4">
        <f t="shared" si="13"/>
        <v>4.3986390288510862</v>
      </c>
    </row>
    <row r="412" spans="1:5" x14ac:dyDescent="0.35">
      <c r="A412" t="s">
        <v>415</v>
      </c>
      <c r="B412" s="2">
        <v>4.22</v>
      </c>
      <c r="C412" s="4">
        <v>4.2119050025939941</v>
      </c>
      <c r="D412" s="4">
        <f t="shared" si="12"/>
        <v>8.0949974060056107E-3</v>
      </c>
      <c r="E412" s="4">
        <f t="shared" si="13"/>
        <v>6.5528983003237566E-5</v>
      </c>
    </row>
    <row r="413" spans="1:5" x14ac:dyDescent="0.35">
      <c r="A413" t="s">
        <v>416</v>
      </c>
      <c r="B413" s="2">
        <v>3.59</v>
      </c>
      <c r="C413" s="4">
        <v>4.2148733139038086</v>
      </c>
      <c r="D413" s="4">
        <f t="shared" si="12"/>
        <v>0.62487331390380874</v>
      </c>
      <c r="E413" s="4">
        <f t="shared" si="13"/>
        <v>0.39046665842912787</v>
      </c>
    </row>
    <row r="414" spans="1:5" x14ac:dyDescent="0.35">
      <c r="A414" t="s">
        <v>417</v>
      </c>
      <c r="B414" s="2">
        <v>1.8</v>
      </c>
      <c r="C414" s="4">
        <v>4.1197819709777832</v>
      </c>
      <c r="D414" s="4">
        <f t="shared" si="12"/>
        <v>2.3197819709777834</v>
      </c>
      <c r="E414" s="4">
        <f t="shared" si="13"/>
        <v>5.3813883928735695</v>
      </c>
    </row>
    <row r="415" spans="1:5" x14ac:dyDescent="0.35">
      <c r="A415" t="s">
        <v>418</v>
      </c>
      <c r="B415" s="2">
        <v>4.13</v>
      </c>
      <c r="C415" s="4">
        <v>3.9346275329589839</v>
      </c>
      <c r="D415" s="4">
        <f t="shared" si="12"/>
        <v>0.19537246704101596</v>
      </c>
      <c r="E415" s="4">
        <f t="shared" si="13"/>
        <v>3.817040087769287E-2</v>
      </c>
    </row>
    <row r="416" spans="1:5" x14ac:dyDescent="0.35">
      <c r="A416" t="s">
        <v>419</v>
      </c>
      <c r="B416" s="2">
        <v>3.95</v>
      </c>
      <c r="C416" s="4">
        <v>3.9820265769958501</v>
      </c>
      <c r="D416" s="4">
        <f t="shared" si="12"/>
        <v>3.2026576995849876E-2</v>
      </c>
      <c r="E416" s="4">
        <f t="shared" si="13"/>
        <v>1.0257016340711005E-3</v>
      </c>
    </row>
    <row r="417" spans="1:5" x14ac:dyDescent="0.35">
      <c r="A417" t="s">
        <v>420</v>
      </c>
      <c r="B417" s="2">
        <v>2.4300000000000002</v>
      </c>
      <c r="C417" s="4">
        <v>3.7542834281921391</v>
      </c>
      <c r="D417" s="4">
        <f t="shared" si="12"/>
        <v>1.324283428192139</v>
      </c>
      <c r="E417" s="4">
        <f t="shared" si="13"/>
        <v>1.753726598184324</v>
      </c>
    </row>
    <row r="418" spans="1:5" x14ac:dyDescent="0.35">
      <c r="A418" t="s">
        <v>421</v>
      </c>
      <c r="B418" s="2">
        <v>4.55</v>
      </c>
      <c r="C418" s="4">
        <v>4.1848325729370117</v>
      </c>
      <c r="D418" s="4">
        <f t="shared" si="12"/>
        <v>0.3651674270629881</v>
      </c>
      <c r="E418" s="4">
        <f t="shared" si="13"/>
        <v>0.13334724978780274</v>
      </c>
    </row>
    <row r="419" spans="1:5" x14ac:dyDescent="0.35">
      <c r="A419" t="s">
        <v>422</v>
      </c>
      <c r="B419" s="2">
        <v>4.32</v>
      </c>
      <c r="C419" s="4">
        <v>4.2012605667114258</v>
      </c>
      <c r="D419" s="4">
        <f t="shared" si="12"/>
        <v>0.1187394332885745</v>
      </c>
      <c r="E419" s="4">
        <f t="shared" si="13"/>
        <v>1.4099053017691834E-2</v>
      </c>
    </row>
    <row r="420" spans="1:5" x14ac:dyDescent="0.35">
      <c r="A420" t="s">
        <v>423</v>
      </c>
      <c r="B420" s="2">
        <v>3.28</v>
      </c>
      <c r="C420" s="4">
        <v>4.0243844985961914</v>
      </c>
      <c r="D420" s="4">
        <f t="shared" si="12"/>
        <v>0.7443844985961916</v>
      </c>
      <c r="E420" s="4">
        <f t="shared" si="13"/>
        <v>0.55410828175030358</v>
      </c>
    </row>
    <row r="421" spans="1:5" x14ac:dyDescent="0.35">
      <c r="A421" t="s">
        <v>424</v>
      </c>
      <c r="B421" s="2">
        <v>2</v>
      </c>
      <c r="C421" s="4">
        <v>3.9572722911834721</v>
      </c>
      <c r="D421" s="4">
        <f t="shared" si="12"/>
        <v>1.9572722911834721</v>
      </c>
      <c r="E421" s="4">
        <f t="shared" si="13"/>
        <v>3.8309148218345985</v>
      </c>
    </row>
    <row r="422" spans="1:5" x14ac:dyDescent="0.35">
      <c r="A422" t="s">
        <v>425</v>
      </c>
      <c r="B422" s="2">
        <v>1.35</v>
      </c>
      <c r="C422" s="4">
        <v>3.9546442031860352</v>
      </c>
      <c r="D422" s="4">
        <f t="shared" si="12"/>
        <v>2.6046442031860351</v>
      </c>
      <c r="E422" s="4">
        <f t="shared" si="13"/>
        <v>6.7841714251906158</v>
      </c>
    </row>
    <row r="423" spans="1:5" x14ac:dyDescent="0.35">
      <c r="A423" t="s">
        <v>426</v>
      </c>
      <c r="B423" s="2">
        <v>4.29</v>
      </c>
      <c r="C423" s="4">
        <v>3.7390017509460449</v>
      </c>
      <c r="D423" s="4">
        <f t="shared" si="12"/>
        <v>0.55099824905395511</v>
      </c>
      <c r="E423" s="4">
        <f t="shared" si="13"/>
        <v>0.30359907046052437</v>
      </c>
    </row>
    <row r="424" spans="1:5" x14ac:dyDescent="0.35">
      <c r="A424" t="s">
        <v>427</v>
      </c>
      <c r="B424" s="2">
        <v>3.49</v>
      </c>
      <c r="C424" s="4">
        <v>3.645390510559082</v>
      </c>
      <c r="D424" s="4">
        <f t="shared" si="12"/>
        <v>0.15539051055908182</v>
      </c>
      <c r="E424" s="4">
        <f t="shared" si="13"/>
        <v>2.4146210771812119E-2</v>
      </c>
    </row>
    <row r="425" spans="1:5" x14ac:dyDescent="0.35">
      <c r="A425" t="s">
        <v>428</v>
      </c>
      <c r="B425" s="2">
        <v>2.76</v>
      </c>
      <c r="C425" s="4">
        <v>3.625651597976685</v>
      </c>
      <c r="D425" s="4">
        <f t="shared" si="12"/>
        <v>0.86565159797668523</v>
      </c>
      <c r="E425" s="4">
        <f t="shared" si="13"/>
        <v>0.74935268907958863</v>
      </c>
    </row>
    <row r="426" spans="1:5" x14ac:dyDescent="0.35">
      <c r="A426" t="s">
        <v>429</v>
      </c>
      <c r="B426" s="2">
        <v>1.6</v>
      </c>
      <c r="C426" s="4">
        <v>3.48173975944519</v>
      </c>
      <c r="D426" s="4">
        <f t="shared" si="12"/>
        <v>1.8817397594451899</v>
      </c>
      <c r="E426" s="4">
        <f t="shared" si="13"/>
        <v>3.540944522276841</v>
      </c>
    </row>
    <row r="427" spans="1:5" x14ac:dyDescent="0.35">
      <c r="A427" t="s">
        <v>430</v>
      </c>
      <c r="B427" s="2">
        <v>3.86</v>
      </c>
      <c r="C427" s="4">
        <v>4.0318164825439453</v>
      </c>
      <c r="D427" s="4">
        <f t="shared" si="12"/>
        <v>0.17181648254394544</v>
      </c>
      <c r="E427" s="4">
        <f t="shared" si="13"/>
        <v>2.9520903673773906E-2</v>
      </c>
    </row>
    <row r="428" spans="1:5" x14ac:dyDescent="0.35">
      <c r="A428" t="s">
        <v>431</v>
      </c>
      <c r="B428" s="2">
        <v>3.29</v>
      </c>
      <c r="C428" s="4">
        <v>3.9484307765960689</v>
      </c>
      <c r="D428" s="4">
        <f t="shared" si="12"/>
        <v>0.65843077659606886</v>
      </c>
      <c r="E428" s="4">
        <f t="shared" si="13"/>
        <v>0.43353108756890235</v>
      </c>
    </row>
    <row r="429" spans="1:5" x14ac:dyDescent="0.35">
      <c r="A429" t="s">
        <v>432</v>
      </c>
      <c r="B429" s="2">
        <v>1.78</v>
      </c>
      <c r="C429" s="4">
        <v>3.9640977382659912</v>
      </c>
      <c r="D429" s="4">
        <f t="shared" si="12"/>
        <v>2.184097738265991</v>
      </c>
      <c r="E429" s="4">
        <f t="shared" si="13"/>
        <v>4.7702829302986167</v>
      </c>
    </row>
    <row r="430" spans="1:5" x14ac:dyDescent="0.35">
      <c r="A430" t="s">
        <v>433</v>
      </c>
      <c r="B430" s="2">
        <v>3.8</v>
      </c>
      <c r="C430" s="4">
        <v>3.5474917888641362</v>
      </c>
      <c r="D430" s="4">
        <f t="shared" si="12"/>
        <v>0.25250821113586364</v>
      </c>
      <c r="E430" s="4">
        <f t="shared" si="13"/>
        <v>6.3760396691033894E-2</v>
      </c>
    </row>
    <row r="431" spans="1:5" x14ac:dyDescent="0.35">
      <c r="A431" t="s">
        <v>434</v>
      </c>
      <c r="B431" s="2">
        <v>3.62</v>
      </c>
      <c r="C431" s="4">
        <v>3.4700789451599121</v>
      </c>
      <c r="D431" s="4">
        <f t="shared" si="12"/>
        <v>0.149921054840088</v>
      </c>
      <c r="E431" s="4">
        <f t="shared" si="13"/>
        <v>2.2476322684364673E-2</v>
      </c>
    </row>
    <row r="432" spans="1:5" x14ac:dyDescent="0.35">
      <c r="A432" t="s">
        <v>435</v>
      </c>
      <c r="B432" s="2">
        <v>2.14</v>
      </c>
      <c r="C432" s="4">
        <v>3.6433875560760498</v>
      </c>
      <c r="D432" s="4">
        <f t="shared" si="12"/>
        <v>1.5033875560760497</v>
      </c>
      <c r="E432" s="4">
        <f t="shared" si="13"/>
        <v>2.2601741437643175</v>
      </c>
    </row>
    <row r="433" spans="1:5" x14ac:dyDescent="0.35">
      <c r="A433" t="s">
        <v>436</v>
      </c>
      <c r="B433" s="2">
        <v>3.98</v>
      </c>
      <c r="C433" s="4">
        <v>4.1453404426574707</v>
      </c>
      <c r="D433" s="4">
        <f t="shared" si="12"/>
        <v>0.16534044265747072</v>
      </c>
      <c r="E433" s="4">
        <f t="shared" si="13"/>
        <v>2.7337461978168363E-2</v>
      </c>
    </row>
    <row r="434" spans="1:5" x14ac:dyDescent="0.35">
      <c r="A434" t="s">
        <v>437</v>
      </c>
      <c r="B434" s="2">
        <v>3.75</v>
      </c>
      <c r="C434" s="4">
        <v>4.0246109962463379</v>
      </c>
      <c r="D434" s="4">
        <f t="shared" si="12"/>
        <v>0.27461099624633789</v>
      </c>
      <c r="E434" s="4">
        <f t="shared" si="13"/>
        <v>7.5411199259406203E-2</v>
      </c>
    </row>
    <row r="435" spans="1:5" x14ac:dyDescent="0.35">
      <c r="A435" t="s">
        <v>438</v>
      </c>
      <c r="B435" s="2">
        <v>1.93</v>
      </c>
      <c r="C435" s="4">
        <v>4.1073660850524902</v>
      </c>
      <c r="D435" s="4">
        <f t="shared" si="12"/>
        <v>2.1773660850524905</v>
      </c>
      <c r="E435" s="4">
        <f t="shared" si="13"/>
        <v>4.7409230683368095</v>
      </c>
    </row>
    <row r="436" spans="1:5" x14ac:dyDescent="0.35">
      <c r="A436" t="s">
        <v>439</v>
      </c>
      <c r="B436" s="2">
        <v>4.03</v>
      </c>
      <c r="C436" s="4">
        <v>3.7821872234344478</v>
      </c>
      <c r="D436" s="4">
        <f t="shared" si="12"/>
        <v>0.24781277656555245</v>
      </c>
      <c r="E436" s="4">
        <f t="shared" si="13"/>
        <v>6.1411172229128425E-2</v>
      </c>
    </row>
    <row r="437" spans="1:5" x14ac:dyDescent="0.35">
      <c r="A437" t="s">
        <v>440</v>
      </c>
      <c r="B437" s="2">
        <v>3.99</v>
      </c>
      <c r="C437" s="4">
        <v>3.7267041206359859</v>
      </c>
      <c r="D437" s="4">
        <f t="shared" si="12"/>
        <v>0.26329587936401433</v>
      </c>
      <c r="E437" s="4">
        <f t="shared" si="13"/>
        <v>6.9324720090069583E-2</v>
      </c>
    </row>
    <row r="438" spans="1:5" x14ac:dyDescent="0.35">
      <c r="A438" t="s">
        <v>441</v>
      </c>
      <c r="B438" s="2">
        <v>2.2799999999999998</v>
      </c>
      <c r="C438" s="4">
        <v>3.6529355049133301</v>
      </c>
      <c r="D438" s="4">
        <f t="shared" si="12"/>
        <v>1.3729355049133303</v>
      </c>
      <c r="E438" s="4">
        <f t="shared" si="13"/>
        <v>1.8849519006516211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Net4U</dc:creator>
  <cp:lastModifiedBy>Lab Net4u</cp:lastModifiedBy>
  <dcterms:created xsi:type="dcterms:W3CDTF">2015-06-05T18:19:34Z</dcterms:created>
  <dcterms:modified xsi:type="dcterms:W3CDTF">2026-03-30T15:53:43Z</dcterms:modified>
</cp:coreProperties>
</file>